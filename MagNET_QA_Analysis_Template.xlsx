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+xml"/>
  <Override PartName="/xl/comments3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1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stlin\magnetqa\"/>
    </mc:Choice>
  </mc:AlternateContent>
  <xr:revisionPtr revIDLastSave="0" documentId="13_ncr:1_{C8CFA94A-6D32-44E4-AF68-0446E64D67B4}" xr6:coauthVersionLast="47" xr6:coauthVersionMax="47" xr10:uidLastSave="{00000000-0000-0000-0000-000000000000}"/>
  <bookViews>
    <workbookView xWindow="-120" yWindow="-120" windowWidth="29040" windowHeight="17640" tabRatio="929" firstSheet="7" activeTab="18" xr2:uid="{B4151D76-52A8-4540-A8F5-A8AF6C39BD0D}"/>
  </bookViews>
  <sheets>
    <sheet name="BC SNR" sheetId="1" r:id="rId1"/>
    <sheet name="HC SNR" sheetId="7" r:id="rId2"/>
    <sheet name="BC Uniformity" sheetId="2" r:id="rId3"/>
    <sheet name="BC Tra Uniformity" sheetId="8" r:id="rId4"/>
    <sheet name="BC Sag Uniformity" sheetId="9" r:id="rId5"/>
    <sheet name="BC Cor Uniformity" sheetId="10" r:id="rId6"/>
    <sheet name="HC Uniformity" sheetId="11" r:id="rId7"/>
    <sheet name="HC Tra Uniformity" sheetId="12" r:id="rId8"/>
    <sheet name="HC Sag Uniformity" sheetId="13" r:id="rId9"/>
    <sheet name="HC Cor Uniformity" sheetId="14" r:id="rId10"/>
    <sheet name="Geometric" sheetId="15" r:id="rId11"/>
    <sheet name="Slice Width" sheetId="3" r:id="rId12"/>
    <sheet name="Tra Slice Width" sheetId="4" r:id="rId13"/>
    <sheet name="Sag Slice Width" sheetId="18" r:id="rId14"/>
    <sheet name="Cor Slice Width" sheetId="19" r:id="rId15"/>
    <sheet name="Slice Position" sheetId="16" r:id="rId16"/>
    <sheet name="EPI Stability" sheetId="17" r:id="rId17"/>
    <sheet name="Tables for Report" sheetId="20" r:id="rId18"/>
    <sheet name="Comparison Charts for Report" sheetId="21" r:id="rId19"/>
  </sheets>
  <definedNames>
    <definedName name="_xlchart.v1.0" hidden="1">'EPI Stability'!$A$12:$A$111</definedName>
    <definedName name="_xlchart.v1.1" hidden="1">'EPI Stability'!$B$11</definedName>
    <definedName name="_xlchart.v1.2" hidden="1">'EPI Stability'!$B$12:$B$111</definedName>
    <definedName name="angled_rod_sep_" localSheetId="15">'Slice Position'!$B$9</definedName>
    <definedName name="B0_" localSheetId="0">'BC SNR'!$B$24</definedName>
    <definedName name="B0_" localSheetId="1">'HC SNR'!$B$24</definedName>
    <definedName name="BW_" localSheetId="0">'BC SNR'!$B$29</definedName>
    <definedName name="BW_" localSheetId="1">'HC SNR'!$B$29</definedName>
    <definedName name="BW_nominal_" localSheetId="0">'BC SNR'!$B$37</definedName>
    <definedName name="BW_nominal_" localSheetId="1">'HC SNR'!$B$37</definedName>
    <definedName name="BW_norm_" localSheetId="0">'BC SNR'!$B$40</definedName>
    <definedName name="BW_norm_" localSheetId="1">'HC SNR'!$B$40</definedName>
    <definedName name="BW_scanner_" localSheetId="0">'BC SNR'!$B$22</definedName>
    <definedName name="BW_scanner_" localSheetId="1">'HC SNR'!$B$22</definedName>
    <definedName name="CL_norm_" localSheetId="0">'BC SNR'!$B$45</definedName>
    <definedName name="CL_norm_" localSheetId="1">'HC SNR'!$B$45</definedName>
    <definedName name="Dx_" localSheetId="0">'BC SNR'!$B$30</definedName>
    <definedName name="Dx_" localSheetId="1">'HC SNR'!$B$30</definedName>
    <definedName name="Dx_" localSheetId="11">'Slice Width'!$B$16</definedName>
    <definedName name="Dy_" localSheetId="0">'BC SNR'!$B$31</definedName>
    <definedName name="Dy_" localSheetId="1">'HC SNR'!$B$31</definedName>
    <definedName name="Dz_cor_" localSheetId="0">'BC SNR'!$B$34</definedName>
    <definedName name="Dz_cor_" localSheetId="1">'HC SNR'!$B$34</definedName>
    <definedName name="Dz_sag_" localSheetId="0">'BC SNR'!$B$33</definedName>
    <definedName name="Dz_sag_" localSheetId="1">'HC SNR'!$B$33</definedName>
    <definedName name="Dz_tra_" localSheetId="0">'BC SNR'!$B$32</definedName>
    <definedName name="Dz_tra_" localSheetId="1">'HC SNR'!$B$32</definedName>
    <definedName name="FOV_" localSheetId="0">'BC SNR'!$B$21</definedName>
    <definedName name="FOV_" localSheetId="1">'HC SNR'!$B$21</definedName>
    <definedName name="FOV_" localSheetId="11">'Slice Width'!$B$9</definedName>
    <definedName name="FWHM_cor_1_" localSheetId="11">'Slice Width'!$B$21</definedName>
    <definedName name="FWHM_cor_2_" localSheetId="11">'Slice Width'!$B$22</definedName>
    <definedName name="FWHM_sag_1_" localSheetId="11">'Slice Width'!$B$19</definedName>
    <definedName name="FWHM_sag_2_" localSheetId="11">'Slice Width'!$B$20</definedName>
    <definedName name="FWHM_tra_1_" localSheetId="11">'Slice Width'!$B$17</definedName>
    <definedName name="FWHM_tra_2_" localSheetId="11">'Slice Width'!$B$18</definedName>
    <definedName name="N_fe_" localSheetId="0">'BC SNR'!$B$18</definedName>
    <definedName name="N_fe_" localSheetId="1">'HC SNR'!$B$18</definedName>
    <definedName name="N_fe_" localSheetId="11">'Slice Width'!$B$8</definedName>
    <definedName name="N_pe_" localSheetId="0">'BC SNR'!$B$17</definedName>
    <definedName name="N_pe_" localSheetId="1">'HC SNR'!$B$17</definedName>
    <definedName name="NSA_" localSheetId="0">'BC SNR'!$B$20</definedName>
    <definedName name="NSA_" localSheetId="1">'HC SNR'!$B$20</definedName>
    <definedName name="profile_1_baseline_offset_" localSheetId="14">'Cor Slice Width'!$B$2</definedName>
    <definedName name="profile_1_baseline_offset_" localSheetId="13">'Sag Slice Width'!$B$2</definedName>
    <definedName name="profile_1_baseline_offset_" localSheetId="12">'Tra Slice Width'!$B$2</definedName>
    <definedName name="profile_1_min_offset_" localSheetId="14">'Cor Slice Width'!$B$3</definedName>
    <definedName name="profile_1_min_offset_" localSheetId="13">'Sag Slice Width'!$B$3</definedName>
    <definedName name="profile_1_min_offset_" localSheetId="12">'Tra Slice Width'!$B$3</definedName>
    <definedName name="profile_2_baseline_offset_" localSheetId="14">'Cor Slice Width'!$B$4</definedName>
    <definedName name="profile_2_baseline_offset_" localSheetId="13">'Sag Slice Width'!$B$4</definedName>
    <definedName name="profile_2_baseline_offset_" localSheetId="12">'Tra Slice Width'!$B$4</definedName>
    <definedName name="profile_2_min_offset_" localSheetId="14">'Cor Slice Width'!$B$5</definedName>
    <definedName name="profile_2_min_offset_" localSheetId="13">'Sag Slice Width'!$B$5</definedName>
    <definedName name="profile_2_min_offset_" localSheetId="12">'Tra Slice Width'!$B$5</definedName>
    <definedName name="Q_head_" localSheetId="0">'BC SNR'!$B$25</definedName>
    <definedName name="Q_head_" localSheetId="1">'HC SNR'!$B$25</definedName>
    <definedName name="Q_test_object_" localSheetId="0">'BC SNR'!$B$26</definedName>
    <definedName name="Q_test_object_" localSheetId="1">'HC SNR'!$B$26</definedName>
    <definedName name="rda_" localSheetId="15">'Slice Position'!$B$10</definedName>
    <definedName name="rod_dist_" localSheetId="10">Geometric!$B$13</definedName>
    <definedName name="Scanner_" localSheetId="0">'BC SNR'!$B$23</definedName>
    <definedName name="Scanner_" localSheetId="1">'HC SNR'!$B$23</definedName>
    <definedName name="SF_" localSheetId="11">'Slice Width'!$B$15</definedName>
    <definedName name="slice_gap_" localSheetId="15">'Slice Position'!$B$8</definedName>
    <definedName name="slice_offset_" localSheetId="15">'Slice Position'!$B$13</definedName>
    <definedName name="slice_thk_" localSheetId="15">'Slice Position'!$B$7</definedName>
    <definedName name="SNR_cor_" localSheetId="0">'BC SNR'!$J$14</definedName>
    <definedName name="SNR_cor_" localSheetId="1">'HC SNR'!$J$14</definedName>
    <definedName name="SNR_sag_" localSheetId="0">'BC SNR'!$F$14</definedName>
    <definedName name="SNR_sag_" localSheetId="1">'HC SNR'!$F$14</definedName>
    <definedName name="SNR_tra_" localSheetId="0">'BC SNR'!$B$14</definedName>
    <definedName name="SNR_tra_" localSheetId="1">'HC SNR'!$B$14</definedName>
    <definedName name="ST_corr_" localSheetId="0">'BC SNR'!$B$44</definedName>
    <definedName name="ST_corr_" localSheetId="1">'HC SNR'!$B$44</definedName>
    <definedName name="sys_name_" localSheetId="17">'Tables for Report'!$B$2</definedName>
    <definedName name="sys_name_comp_" localSheetId="18">'Comparison Charts for Report'!$B$2</definedName>
    <definedName name="test_date_" localSheetId="17">'Tables for Report'!#REF!</definedName>
    <definedName name="theta_" localSheetId="11">'Slice Width'!$B$12</definedName>
    <definedName name="TR_" localSheetId="0">'BC SNR'!$B$19</definedName>
    <definedName name="TR_" localSheetId="1">'HC SNR'!$B$19</definedName>
    <definedName name="VS_corr_cor_" localSheetId="0">'BC SNR'!$B$43</definedName>
    <definedName name="VS_corr_cor_" localSheetId="1">'HC SNR'!$B$43</definedName>
    <definedName name="VS_corr_sag_" localSheetId="0">'BC SNR'!$B$42</definedName>
    <definedName name="VS_corr_sag_" localSheetId="1">'HC SNR'!$B$42</definedName>
    <definedName name="VS_corr_tra_" localSheetId="0">'BC SNR'!$B$41</definedName>
    <definedName name="VS_corr_tra_" localSheetId="1">'HC SNR'!$B$41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21" l="1"/>
  <c r="A31" i="21"/>
  <c r="A28" i="21"/>
  <c r="A27" i="21"/>
  <c r="A24" i="21"/>
  <c r="A23" i="21"/>
  <c r="A20" i="21"/>
  <c r="A19" i="21"/>
  <c r="A16" i="21"/>
  <c r="A15" i="21"/>
  <c r="A12" i="21"/>
  <c r="A11" i="21"/>
  <c r="A8" i="21"/>
  <c r="A7" i="21" l="1"/>
  <c r="B44" i="1"/>
  <c r="D10" i="15" l="1"/>
  <c r="B5" i="15"/>
  <c r="G11" i="20"/>
  <c r="AH7" i="20"/>
  <c r="A11" i="20"/>
  <c r="AB7" i="20"/>
  <c r="U7" i="20"/>
  <c r="N11" i="20"/>
  <c r="N7" i="20"/>
  <c r="G7" i="20"/>
  <c r="A7" i="20"/>
  <c r="B15" i="3" l="1"/>
  <c r="B133" i="19"/>
  <c r="C133" i="19"/>
  <c r="B134" i="19"/>
  <c r="C134" i="19"/>
  <c r="B133" i="18"/>
  <c r="C133" i="18"/>
  <c r="B134" i="18"/>
  <c r="C134" i="18"/>
  <c r="C133" i="4"/>
  <c r="B133" i="4"/>
  <c r="E9" i="17"/>
  <c r="D9" i="17"/>
  <c r="C9" i="17"/>
  <c r="B9" i="17"/>
  <c r="C8" i="17"/>
  <c r="B8" i="17"/>
  <c r="E8" i="17"/>
  <c r="D8" i="17"/>
  <c r="D4" i="17"/>
  <c r="AL7" i="20" s="1"/>
  <c r="B4" i="17"/>
  <c r="AJ7" i="20" s="1"/>
  <c r="A4" i="17"/>
  <c r="AI7" i="20" s="1"/>
  <c r="I18" i="16"/>
  <c r="I19" i="16"/>
  <c r="I20" i="16"/>
  <c r="I40" i="16"/>
  <c r="I41" i="16"/>
  <c r="I42" i="16"/>
  <c r="I43" i="16"/>
  <c r="I17" i="16"/>
  <c r="H17" i="16"/>
  <c r="H40" i="16"/>
  <c r="H41" i="16"/>
  <c r="H42" i="16"/>
  <c r="H43" i="16"/>
  <c r="H18" i="16"/>
  <c r="H19" i="16"/>
  <c r="H20" i="16"/>
  <c r="G18" i="16"/>
  <c r="G19" i="16"/>
  <c r="G20" i="16"/>
  <c r="G40" i="16"/>
  <c r="G41" i="16"/>
  <c r="G42" i="16"/>
  <c r="G43" i="16"/>
  <c r="G17" i="16"/>
  <c r="F18" i="16"/>
  <c r="F19" i="16"/>
  <c r="F20" i="16"/>
  <c r="F40" i="16"/>
  <c r="F41" i="16"/>
  <c r="F42" i="16"/>
  <c r="F43" i="16"/>
  <c r="F17" i="16"/>
  <c r="D17" i="16"/>
  <c r="D18" i="16"/>
  <c r="D19" i="16"/>
  <c r="D20" i="16"/>
  <c r="D21" i="16"/>
  <c r="F21" i="16" s="1"/>
  <c r="D22" i="16"/>
  <c r="F22" i="16" s="1"/>
  <c r="D23" i="16"/>
  <c r="F23" i="16" s="1"/>
  <c r="D24" i="16"/>
  <c r="F24" i="16" s="1"/>
  <c r="D25" i="16"/>
  <c r="F25" i="16" s="1"/>
  <c r="D26" i="16"/>
  <c r="F26" i="16" s="1"/>
  <c r="D27" i="16"/>
  <c r="F27" i="16" s="1"/>
  <c r="D28" i="16"/>
  <c r="F28" i="16" s="1"/>
  <c r="D29" i="16"/>
  <c r="F29" i="16" s="1"/>
  <c r="D30" i="16"/>
  <c r="D31" i="16"/>
  <c r="F31" i="16" s="1"/>
  <c r="D32" i="16"/>
  <c r="F32" i="16" s="1"/>
  <c r="D33" i="16"/>
  <c r="F33" i="16" s="1"/>
  <c r="D34" i="16"/>
  <c r="F34" i="16" s="1"/>
  <c r="D35" i="16"/>
  <c r="F35" i="16" s="1"/>
  <c r="D36" i="16"/>
  <c r="F36" i="16" s="1"/>
  <c r="D37" i="16"/>
  <c r="F37" i="16" s="1"/>
  <c r="D38" i="16"/>
  <c r="F38" i="16" s="1"/>
  <c r="D39" i="16"/>
  <c r="F39" i="16" s="1"/>
  <c r="D40" i="16"/>
  <c r="D41" i="16"/>
  <c r="D42" i="16"/>
  <c r="D43" i="16"/>
  <c r="Q7" i="20"/>
  <c r="C10" i="15"/>
  <c r="P7" i="20" s="1"/>
  <c r="B10" i="15"/>
  <c r="F5" i="15"/>
  <c r="F10" i="15" s="1"/>
  <c r="S7" i="20" s="1"/>
  <c r="D5" i="15"/>
  <c r="D6" i="15" s="1"/>
  <c r="C5" i="15"/>
  <c r="B6" i="15"/>
  <c r="K18" i="15"/>
  <c r="K19" i="15"/>
  <c r="K20" i="15"/>
  <c r="K21" i="15"/>
  <c r="K22" i="15"/>
  <c r="G18" i="15"/>
  <c r="G19" i="15"/>
  <c r="G20" i="15"/>
  <c r="G21" i="15"/>
  <c r="G22" i="15"/>
  <c r="C18" i="15"/>
  <c r="C19" i="15"/>
  <c r="C20" i="15"/>
  <c r="C21" i="15"/>
  <c r="C22" i="15"/>
  <c r="G17" i="15"/>
  <c r="K17" i="15"/>
  <c r="C17" i="15"/>
  <c r="I165" i="14"/>
  <c r="D165" i="14"/>
  <c r="I164" i="14"/>
  <c r="D164" i="14"/>
  <c r="I163" i="14"/>
  <c r="D163" i="14"/>
  <c r="I162" i="14"/>
  <c r="D162" i="14"/>
  <c r="I161" i="14"/>
  <c r="D161" i="14"/>
  <c r="I160" i="14"/>
  <c r="D160" i="14"/>
  <c r="I159" i="14"/>
  <c r="D159" i="14"/>
  <c r="I158" i="14"/>
  <c r="D158" i="14"/>
  <c r="I157" i="14"/>
  <c r="D157" i="14"/>
  <c r="I156" i="14"/>
  <c r="D156" i="14"/>
  <c r="I155" i="14"/>
  <c r="D155" i="14"/>
  <c r="I154" i="14"/>
  <c r="D154" i="14"/>
  <c r="I153" i="14"/>
  <c r="D153" i="14"/>
  <c r="I152" i="14"/>
  <c r="D152" i="14"/>
  <c r="I151" i="14"/>
  <c r="D151" i="14"/>
  <c r="I150" i="14"/>
  <c r="D150" i="14"/>
  <c r="I149" i="14"/>
  <c r="D149" i="14"/>
  <c r="I148" i="14"/>
  <c r="D148" i="14"/>
  <c r="I147" i="14"/>
  <c r="D147" i="14"/>
  <c r="I146" i="14"/>
  <c r="D146" i="14"/>
  <c r="I145" i="14"/>
  <c r="D145" i="14"/>
  <c r="I144" i="14"/>
  <c r="D144" i="14"/>
  <c r="I143" i="14"/>
  <c r="D143" i="14"/>
  <c r="I142" i="14"/>
  <c r="D142" i="14"/>
  <c r="I141" i="14"/>
  <c r="D141" i="14"/>
  <c r="I140" i="14"/>
  <c r="D140" i="14"/>
  <c r="I139" i="14"/>
  <c r="D139" i="14"/>
  <c r="I138" i="14"/>
  <c r="D138" i="14"/>
  <c r="I137" i="14"/>
  <c r="D137" i="14"/>
  <c r="I136" i="14"/>
  <c r="D136" i="14"/>
  <c r="I135" i="14"/>
  <c r="D135" i="14"/>
  <c r="I134" i="14"/>
  <c r="D134" i="14"/>
  <c r="I133" i="14"/>
  <c r="D133" i="14"/>
  <c r="I132" i="14"/>
  <c r="D132" i="14"/>
  <c r="I131" i="14"/>
  <c r="D131" i="14"/>
  <c r="I130" i="14"/>
  <c r="D130" i="14"/>
  <c r="I129" i="14"/>
  <c r="D129" i="14"/>
  <c r="I128" i="14"/>
  <c r="D128" i="14"/>
  <c r="I127" i="14"/>
  <c r="D127" i="14"/>
  <c r="I126" i="14"/>
  <c r="D126" i="14"/>
  <c r="I125" i="14"/>
  <c r="D125" i="14"/>
  <c r="I124" i="14"/>
  <c r="D124" i="14"/>
  <c r="I123" i="14"/>
  <c r="D123" i="14"/>
  <c r="I122" i="14"/>
  <c r="D122" i="14"/>
  <c r="I121" i="14"/>
  <c r="D121" i="14"/>
  <c r="I120" i="14"/>
  <c r="D120" i="14"/>
  <c r="I119" i="14"/>
  <c r="D119" i="14"/>
  <c r="I118" i="14"/>
  <c r="D118" i="14"/>
  <c r="I117" i="14"/>
  <c r="D117" i="14"/>
  <c r="I116" i="14"/>
  <c r="D116" i="14"/>
  <c r="I115" i="14"/>
  <c r="D115" i="14"/>
  <c r="I114" i="14"/>
  <c r="D114" i="14"/>
  <c r="I113" i="14"/>
  <c r="D113" i="14"/>
  <c r="I112" i="14"/>
  <c r="D112" i="14"/>
  <c r="I111" i="14"/>
  <c r="D111" i="14"/>
  <c r="I110" i="14"/>
  <c r="D110" i="14"/>
  <c r="I109" i="14"/>
  <c r="D109" i="14"/>
  <c r="I108" i="14"/>
  <c r="D108" i="14"/>
  <c r="I107" i="14"/>
  <c r="D107" i="14"/>
  <c r="I106" i="14"/>
  <c r="D106" i="14"/>
  <c r="I105" i="14"/>
  <c r="D105" i="14"/>
  <c r="I104" i="14"/>
  <c r="D104" i="14"/>
  <c r="I103" i="14"/>
  <c r="D103" i="14"/>
  <c r="I102" i="14"/>
  <c r="D102" i="14"/>
  <c r="I101" i="14"/>
  <c r="D101" i="14"/>
  <c r="I100" i="14"/>
  <c r="D100" i="14"/>
  <c r="I99" i="14"/>
  <c r="D99" i="14"/>
  <c r="I98" i="14"/>
  <c r="D98" i="14"/>
  <c r="I97" i="14"/>
  <c r="D97" i="14"/>
  <c r="I96" i="14"/>
  <c r="D96" i="14"/>
  <c r="I95" i="14"/>
  <c r="D95" i="14"/>
  <c r="I94" i="14"/>
  <c r="D94" i="14"/>
  <c r="I93" i="14"/>
  <c r="D93" i="14"/>
  <c r="I92" i="14"/>
  <c r="D92" i="14"/>
  <c r="I91" i="14"/>
  <c r="D91" i="14"/>
  <c r="I90" i="14"/>
  <c r="D90" i="14"/>
  <c r="I89" i="14"/>
  <c r="D89" i="14"/>
  <c r="I88" i="14"/>
  <c r="D88" i="14"/>
  <c r="I87" i="14"/>
  <c r="D87" i="14"/>
  <c r="I86" i="14"/>
  <c r="D86" i="14"/>
  <c r="I85" i="14"/>
  <c r="D85" i="14"/>
  <c r="I84" i="14"/>
  <c r="D84" i="14"/>
  <c r="I83" i="14"/>
  <c r="D83" i="14"/>
  <c r="I82" i="14"/>
  <c r="D82" i="14"/>
  <c r="I81" i="14"/>
  <c r="D81" i="14"/>
  <c r="I80" i="14"/>
  <c r="D80" i="14"/>
  <c r="I79" i="14"/>
  <c r="D79" i="14"/>
  <c r="I78" i="14"/>
  <c r="D78" i="14"/>
  <c r="I77" i="14"/>
  <c r="D77" i="14"/>
  <c r="I76" i="14"/>
  <c r="D76" i="14"/>
  <c r="I75" i="14"/>
  <c r="D75" i="14"/>
  <c r="I74" i="14"/>
  <c r="D74" i="14"/>
  <c r="I73" i="14"/>
  <c r="D73" i="14"/>
  <c r="I72" i="14"/>
  <c r="D72" i="14"/>
  <c r="I71" i="14"/>
  <c r="D71" i="14"/>
  <c r="I70" i="14"/>
  <c r="D70" i="14"/>
  <c r="I69" i="14"/>
  <c r="D69" i="14"/>
  <c r="I68" i="14"/>
  <c r="D68" i="14"/>
  <c r="I67" i="14"/>
  <c r="D67" i="14"/>
  <c r="I66" i="14"/>
  <c r="D66" i="14"/>
  <c r="I65" i="14"/>
  <c r="D65" i="14"/>
  <c r="I64" i="14"/>
  <c r="D64" i="14"/>
  <c r="I63" i="14"/>
  <c r="D63" i="14"/>
  <c r="I62" i="14"/>
  <c r="D62" i="14"/>
  <c r="I61" i="14"/>
  <c r="D61" i="14"/>
  <c r="I60" i="14"/>
  <c r="D60" i="14"/>
  <c r="I59" i="14"/>
  <c r="D59" i="14"/>
  <c r="I58" i="14"/>
  <c r="D58" i="14"/>
  <c r="I57" i="14"/>
  <c r="D57" i="14"/>
  <c r="I56" i="14"/>
  <c r="D56" i="14"/>
  <c r="I55" i="14"/>
  <c r="D55" i="14"/>
  <c r="I54" i="14"/>
  <c r="D54" i="14"/>
  <c r="I53" i="14"/>
  <c r="D53" i="14"/>
  <c r="I52" i="14"/>
  <c r="D52" i="14"/>
  <c r="I51" i="14"/>
  <c r="D51" i="14"/>
  <c r="I50" i="14"/>
  <c r="D50" i="14"/>
  <c r="I49" i="14"/>
  <c r="D49" i="14"/>
  <c r="I48" i="14"/>
  <c r="D48" i="14"/>
  <c r="I47" i="14"/>
  <c r="D47" i="14"/>
  <c r="I46" i="14"/>
  <c r="D46" i="14"/>
  <c r="I45" i="14"/>
  <c r="D45" i="14"/>
  <c r="I44" i="14"/>
  <c r="D44" i="14"/>
  <c r="I43" i="14"/>
  <c r="D43" i="14"/>
  <c r="I42" i="14"/>
  <c r="D42" i="14"/>
  <c r="I41" i="14"/>
  <c r="D41" i="14"/>
  <c r="I40" i="14"/>
  <c r="D40" i="14"/>
  <c r="I39" i="14"/>
  <c r="D39" i="14"/>
  <c r="I38" i="14"/>
  <c r="D38" i="14"/>
  <c r="I37" i="14"/>
  <c r="D37" i="14"/>
  <c r="I36" i="14"/>
  <c r="D36" i="14"/>
  <c r="I35" i="14"/>
  <c r="D35" i="14"/>
  <c r="I34" i="14"/>
  <c r="D34" i="14"/>
  <c r="I33" i="14"/>
  <c r="D33" i="14"/>
  <c r="I32" i="14"/>
  <c r="D32" i="14"/>
  <c r="I31" i="14"/>
  <c r="D31" i="14"/>
  <c r="I30" i="14"/>
  <c r="D30" i="14"/>
  <c r="I29" i="14"/>
  <c r="D29" i="14"/>
  <c r="I28" i="14"/>
  <c r="D28" i="14"/>
  <c r="I27" i="14"/>
  <c r="D27" i="14"/>
  <c r="I26" i="14"/>
  <c r="D26" i="14"/>
  <c r="I25" i="14"/>
  <c r="D25" i="14"/>
  <c r="I24" i="14"/>
  <c r="D24" i="14"/>
  <c r="I23" i="14"/>
  <c r="D23" i="14"/>
  <c r="I22" i="14"/>
  <c r="D22" i="14"/>
  <c r="I21" i="14"/>
  <c r="D21" i="14"/>
  <c r="I20" i="14"/>
  <c r="D20" i="14"/>
  <c r="I19" i="14"/>
  <c r="D19" i="14"/>
  <c r="I18" i="14"/>
  <c r="D18" i="14"/>
  <c r="I17" i="14"/>
  <c r="D17" i="14"/>
  <c r="I16" i="14"/>
  <c r="D16" i="14"/>
  <c r="I15" i="14"/>
  <c r="D15" i="14"/>
  <c r="I14" i="14"/>
  <c r="D14" i="14"/>
  <c r="I13" i="14"/>
  <c r="D13" i="14"/>
  <c r="I12" i="14"/>
  <c r="D12" i="14"/>
  <c r="I11" i="14"/>
  <c r="D11" i="14"/>
  <c r="I10" i="14"/>
  <c r="D10" i="14"/>
  <c r="I9" i="14"/>
  <c r="D9" i="14"/>
  <c r="I8" i="14"/>
  <c r="D8" i="14"/>
  <c r="I7" i="14"/>
  <c r="D7" i="14"/>
  <c r="I6" i="14"/>
  <c r="D6" i="14"/>
  <c r="I165" i="13"/>
  <c r="D165" i="13"/>
  <c r="I164" i="13"/>
  <c r="D164" i="13"/>
  <c r="I163" i="13"/>
  <c r="D163" i="13"/>
  <c r="I162" i="13"/>
  <c r="D162" i="13"/>
  <c r="I161" i="13"/>
  <c r="D161" i="13"/>
  <c r="I160" i="13"/>
  <c r="D160" i="13"/>
  <c r="I159" i="13"/>
  <c r="D159" i="13"/>
  <c r="I158" i="13"/>
  <c r="D158" i="13"/>
  <c r="I157" i="13"/>
  <c r="D157" i="13"/>
  <c r="I156" i="13"/>
  <c r="D156" i="13"/>
  <c r="I155" i="13"/>
  <c r="D155" i="13"/>
  <c r="I154" i="13"/>
  <c r="D154" i="13"/>
  <c r="I153" i="13"/>
  <c r="D153" i="13"/>
  <c r="I152" i="13"/>
  <c r="D152" i="13"/>
  <c r="I151" i="13"/>
  <c r="D151" i="13"/>
  <c r="I150" i="13"/>
  <c r="D150" i="13"/>
  <c r="I149" i="13"/>
  <c r="D149" i="13"/>
  <c r="I148" i="13"/>
  <c r="D148" i="13"/>
  <c r="I147" i="13"/>
  <c r="D147" i="13"/>
  <c r="I146" i="13"/>
  <c r="D146" i="13"/>
  <c r="I145" i="13"/>
  <c r="D145" i="13"/>
  <c r="I144" i="13"/>
  <c r="D144" i="13"/>
  <c r="I143" i="13"/>
  <c r="D143" i="13"/>
  <c r="I142" i="13"/>
  <c r="D142" i="13"/>
  <c r="I141" i="13"/>
  <c r="D141" i="13"/>
  <c r="I140" i="13"/>
  <c r="D140" i="13"/>
  <c r="I139" i="13"/>
  <c r="D139" i="13"/>
  <c r="I138" i="13"/>
  <c r="D138" i="13"/>
  <c r="I137" i="13"/>
  <c r="D137" i="13"/>
  <c r="I136" i="13"/>
  <c r="D136" i="13"/>
  <c r="I135" i="13"/>
  <c r="D135" i="13"/>
  <c r="I134" i="13"/>
  <c r="D134" i="13"/>
  <c r="I133" i="13"/>
  <c r="D133" i="13"/>
  <c r="I132" i="13"/>
  <c r="D132" i="13"/>
  <c r="I131" i="13"/>
  <c r="D131" i="13"/>
  <c r="I130" i="13"/>
  <c r="D130" i="13"/>
  <c r="I129" i="13"/>
  <c r="D129" i="13"/>
  <c r="I128" i="13"/>
  <c r="D128" i="13"/>
  <c r="I127" i="13"/>
  <c r="D127" i="13"/>
  <c r="I126" i="13"/>
  <c r="D126" i="13"/>
  <c r="I125" i="13"/>
  <c r="D125" i="13"/>
  <c r="I124" i="13"/>
  <c r="D124" i="13"/>
  <c r="I123" i="13"/>
  <c r="D123" i="13"/>
  <c r="I122" i="13"/>
  <c r="D122" i="13"/>
  <c r="I121" i="13"/>
  <c r="D121" i="13"/>
  <c r="I120" i="13"/>
  <c r="D120" i="13"/>
  <c r="I119" i="13"/>
  <c r="D119" i="13"/>
  <c r="I118" i="13"/>
  <c r="D118" i="13"/>
  <c r="I117" i="13"/>
  <c r="D117" i="13"/>
  <c r="I116" i="13"/>
  <c r="D116" i="13"/>
  <c r="I115" i="13"/>
  <c r="D115" i="13"/>
  <c r="I114" i="13"/>
  <c r="D114" i="13"/>
  <c r="I113" i="13"/>
  <c r="D113" i="13"/>
  <c r="I112" i="13"/>
  <c r="D112" i="13"/>
  <c r="I111" i="13"/>
  <c r="D111" i="13"/>
  <c r="I110" i="13"/>
  <c r="D110" i="13"/>
  <c r="I109" i="13"/>
  <c r="D109" i="13"/>
  <c r="I108" i="13"/>
  <c r="D108" i="13"/>
  <c r="I107" i="13"/>
  <c r="D107" i="13"/>
  <c r="I106" i="13"/>
  <c r="D106" i="13"/>
  <c r="I105" i="13"/>
  <c r="D105" i="13"/>
  <c r="I104" i="13"/>
  <c r="D104" i="13"/>
  <c r="I103" i="13"/>
  <c r="D103" i="13"/>
  <c r="I102" i="13"/>
  <c r="D102" i="13"/>
  <c r="I101" i="13"/>
  <c r="D101" i="13"/>
  <c r="I100" i="13"/>
  <c r="D100" i="13"/>
  <c r="I99" i="13"/>
  <c r="D99" i="13"/>
  <c r="I98" i="13"/>
  <c r="D98" i="13"/>
  <c r="I97" i="13"/>
  <c r="D97" i="13"/>
  <c r="I96" i="13"/>
  <c r="D96" i="13"/>
  <c r="I95" i="13"/>
  <c r="D95" i="13"/>
  <c r="I94" i="13"/>
  <c r="D94" i="13"/>
  <c r="I93" i="13"/>
  <c r="D93" i="13"/>
  <c r="I92" i="13"/>
  <c r="D92" i="13"/>
  <c r="I91" i="13"/>
  <c r="D91" i="13"/>
  <c r="I90" i="13"/>
  <c r="D90" i="13"/>
  <c r="I89" i="13"/>
  <c r="D89" i="13"/>
  <c r="I88" i="13"/>
  <c r="D88" i="13"/>
  <c r="I87" i="13"/>
  <c r="D87" i="13"/>
  <c r="I86" i="13"/>
  <c r="D86" i="13"/>
  <c r="I85" i="13"/>
  <c r="D85" i="13"/>
  <c r="I84" i="13"/>
  <c r="D84" i="13"/>
  <c r="I83" i="13"/>
  <c r="D83" i="13"/>
  <c r="I82" i="13"/>
  <c r="D82" i="13"/>
  <c r="I81" i="13"/>
  <c r="D81" i="13"/>
  <c r="I80" i="13"/>
  <c r="D80" i="13"/>
  <c r="I79" i="13"/>
  <c r="D79" i="13"/>
  <c r="I78" i="13"/>
  <c r="D78" i="13"/>
  <c r="I77" i="13"/>
  <c r="D77" i="13"/>
  <c r="I76" i="13"/>
  <c r="D76" i="13"/>
  <c r="I75" i="13"/>
  <c r="D75" i="13"/>
  <c r="I74" i="13"/>
  <c r="D74" i="13"/>
  <c r="I73" i="13"/>
  <c r="D73" i="13"/>
  <c r="I72" i="13"/>
  <c r="D72" i="13"/>
  <c r="I71" i="13"/>
  <c r="D71" i="13"/>
  <c r="I70" i="13"/>
  <c r="D70" i="13"/>
  <c r="I69" i="13"/>
  <c r="D69" i="13"/>
  <c r="I68" i="13"/>
  <c r="D68" i="13"/>
  <c r="I67" i="13"/>
  <c r="D67" i="13"/>
  <c r="I66" i="13"/>
  <c r="D66" i="13"/>
  <c r="I65" i="13"/>
  <c r="D65" i="13"/>
  <c r="I64" i="13"/>
  <c r="D64" i="13"/>
  <c r="I63" i="13"/>
  <c r="D63" i="13"/>
  <c r="I62" i="13"/>
  <c r="D62" i="13"/>
  <c r="I61" i="13"/>
  <c r="D61" i="13"/>
  <c r="I60" i="13"/>
  <c r="D60" i="13"/>
  <c r="I59" i="13"/>
  <c r="D59" i="13"/>
  <c r="I58" i="13"/>
  <c r="D58" i="13"/>
  <c r="I57" i="13"/>
  <c r="D57" i="13"/>
  <c r="I56" i="13"/>
  <c r="D56" i="13"/>
  <c r="I55" i="13"/>
  <c r="D55" i="13"/>
  <c r="I54" i="13"/>
  <c r="D54" i="13"/>
  <c r="I53" i="13"/>
  <c r="D53" i="13"/>
  <c r="I52" i="13"/>
  <c r="D52" i="13"/>
  <c r="I51" i="13"/>
  <c r="C2" i="13" s="1"/>
  <c r="C8" i="11" s="1"/>
  <c r="D51" i="13"/>
  <c r="I50" i="13"/>
  <c r="D50" i="13"/>
  <c r="I49" i="13"/>
  <c r="D49" i="13"/>
  <c r="I48" i="13"/>
  <c r="D48" i="13"/>
  <c r="I47" i="13"/>
  <c r="D47" i="13"/>
  <c r="I46" i="13"/>
  <c r="D46" i="13"/>
  <c r="I45" i="13"/>
  <c r="D45" i="13"/>
  <c r="I44" i="13"/>
  <c r="D44" i="13"/>
  <c r="I43" i="13"/>
  <c r="D43" i="13"/>
  <c r="I42" i="13"/>
  <c r="D42" i="13"/>
  <c r="I41" i="13"/>
  <c r="D41" i="13"/>
  <c r="I40" i="13"/>
  <c r="D40" i="13"/>
  <c r="I39" i="13"/>
  <c r="D39" i="13"/>
  <c r="I38" i="13"/>
  <c r="D38" i="13"/>
  <c r="I37" i="13"/>
  <c r="D37" i="13"/>
  <c r="I36" i="13"/>
  <c r="D36" i="13"/>
  <c r="I35" i="13"/>
  <c r="D35" i="13"/>
  <c r="I34" i="13"/>
  <c r="D34" i="13"/>
  <c r="I33" i="13"/>
  <c r="D33" i="13"/>
  <c r="I32" i="13"/>
  <c r="D32" i="13"/>
  <c r="I31" i="13"/>
  <c r="D31" i="13"/>
  <c r="I30" i="13"/>
  <c r="D30" i="13"/>
  <c r="I29" i="13"/>
  <c r="D29" i="13"/>
  <c r="I28" i="13"/>
  <c r="D28" i="13"/>
  <c r="I27" i="13"/>
  <c r="D27" i="13"/>
  <c r="I26" i="13"/>
  <c r="D26" i="13"/>
  <c r="I25" i="13"/>
  <c r="D25" i="13"/>
  <c r="I24" i="13"/>
  <c r="D24" i="13"/>
  <c r="I23" i="13"/>
  <c r="D23" i="13"/>
  <c r="I22" i="13"/>
  <c r="D22" i="13"/>
  <c r="I21" i="13"/>
  <c r="D21" i="13"/>
  <c r="I20" i="13"/>
  <c r="D20" i="13"/>
  <c r="I19" i="13"/>
  <c r="D19" i="13"/>
  <c r="I18" i="13"/>
  <c r="D18" i="13"/>
  <c r="I17" i="13"/>
  <c r="D17" i="13"/>
  <c r="I16" i="13"/>
  <c r="D16" i="13"/>
  <c r="I15" i="13"/>
  <c r="D15" i="13"/>
  <c r="I14" i="13"/>
  <c r="D14" i="13"/>
  <c r="I13" i="13"/>
  <c r="D13" i="13"/>
  <c r="I12" i="13"/>
  <c r="D12" i="13"/>
  <c r="I11" i="13"/>
  <c r="D11" i="13"/>
  <c r="I10" i="13"/>
  <c r="D10" i="13"/>
  <c r="I9" i="13"/>
  <c r="D9" i="13"/>
  <c r="I8" i="13"/>
  <c r="D8" i="13"/>
  <c r="I7" i="13"/>
  <c r="D7" i="13"/>
  <c r="I6" i="13"/>
  <c r="D6" i="13"/>
  <c r="B2" i="13" s="1"/>
  <c r="C7" i="11" s="1"/>
  <c r="I165" i="12"/>
  <c r="D165" i="12"/>
  <c r="I164" i="12"/>
  <c r="D164" i="12"/>
  <c r="I163" i="12"/>
  <c r="D163" i="12"/>
  <c r="I162" i="12"/>
  <c r="D162" i="12"/>
  <c r="I161" i="12"/>
  <c r="D161" i="12"/>
  <c r="I160" i="12"/>
  <c r="D160" i="12"/>
  <c r="I159" i="12"/>
  <c r="D159" i="12"/>
  <c r="I158" i="12"/>
  <c r="D158" i="12"/>
  <c r="I157" i="12"/>
  <c r="D157" i="12"/>
  <c r="I156" i="12"/>
  <c r="D156" i="12"/>
  <c r="I155" i="12"/>
  <c r="D155" i="12"/>
  <c r="I154" i="12"/>
  <c r="D154" i="12"/>
  <c r="I153" i="12"/>
  <c r="D153" i="12"/>
  <c r="I152" i="12"/>
  <c r="D152" i="12"/>
  <c r="I151" i="12"/>
  <c r="D151" i="12"/>
  <c r="I150" i="12"/>
  <c r="D150" i="12"/>
  <c r="I149" i="12"/>
  <c r="D149" i="12"/>
  <c r="I148" i="12"/>
  <c r="D148" i="12"/>
  <c r="I147" i="12"/>
  <c r="D147" i="12"/>
  <c r="I146" i="12"/>
  <c r="D146" i="12"/>
  <c r="I145" i="12"/>
  <c r="D145" i="12"/>
  <c r="I144" i="12"/>
  <c r="D144" i="12"/>
  <c r="I143" i="12"/>
  <c r="D143" i="12"/>
  <c r="I142" i="12"/>
  <c r="D142" i="12"/>
  <c r="I141" i="12"/>
  <c r="D141" i="12"/>
  <c r="I140" i="12"/>
  <c r="D140" i="12"/>
  <c r="I139" i="12"/>
  <c r="D139" i="12"/>
  <c r="I138" i="12"/>
  <c r="D138" i="12"/>
  <c r="I137" i="12"/>
  <c r="D137" i="12"/>
  <c r="I136" i="12"/>
  <c r="D136" i="12"/>
  <c r="I135" i="12"/>
  <c r="D135" i="12"/>
  <c r="I134" i="12"/>
  <c r="D134" i="12"/>
  <c r="I133" i="12"/>
  <c r="D133" i="12"/>
  <c r="I132" i="12"/>
  <c r="D132" i="12"/>
  <c r="I131" i="12"/>
  <c r="D131" i="12"/>
  <c r="I130" i="12"/>
  <c r="D130" i="12"/>
  <c r="I129" i="12"/>
  <c r="D129" i="12"/>
  <c r="I128" i="12"/>
  <c r="D128" i="12"/>
  <c r="I127" i="12"/>
  <c r="D127" i="12"/>
  <c r="I126" i="12"/>
  <c r="D126" i="12"/>
  <c r="I125" i="12"/>
  <c r="D125" i="12"/>
  <c r="I124" i="12"/>
  <c r="D124" i="12"/>
  <c r="I123" i="12"/>
  <c r="D123" i="12"/>
  <c r="I122" i="12"/>
  <c r="D122" i="12"/>
  <c r="I121" i="12"/>
  <c r="D121" i="12"/>
  <c r="I120" i="12"/>
  <c r="D120" i="12"/>
  <c r="I119" i="12"/>
  <c r="D119" i="12"/>
  <c r="I118" i="12"/>
  <c r="D118" i="12"/>
  <c r="I117" i="12"/>
  <c r="D117" i="12"/>
  <c r="I116" i="12"/>
  <c r="D116" i="12"/>
  <c r="I115" i="12"/>
  <c r="D115" i="12"/>
  <c r="I114" i="12"/>
  <c r="D114" i="12"/>
  <c r="I113" i="12"/>
  <c r="D113" i="12"/>
  <c r="I112" i="12"/>
  <c r="D112" i="12"/>
  <c r="I111" i="12"/>
  <c r="D111" i="12"/>
  <c r="I110" i="12"/>
  <c r="D110" i="12"/>
  <c r="I109" i="12"/>
  <c r="D109" i="12"/>
  <c r="I108" i="12"/>
  <c r="D108" i="12"/>
  <c r="I107" i="12"/>
  <c r="D107" i="12"/>
  <c r="I106" i="12"/>
  <c r="D106" i="12"/>
  <c r="I105" i="12"/>
  <c r="D105" i="12"/>
  <c r="I104" i="12"/>
  <c r="D104" i="12"/>
  <c r="I103" i="12"/>
  <c r="D103" i="12"/>
  <c r="I102" i="12"/>
  <c r="D102" i="12"/>
  <c r="I101" i="12"/>
  <c r="D101" i="12"/>
  <c r="I100" i="12"/>
  <c r="D100" i="12"/>
  <c r="I99" i="12"/>
  <c r="D99" i="12"/>
  <c r="I98" i="12"/>
  <c r="D98" i="12"/>
  <c r="I97" i="12"/>
  <c r="D97" i="12"/>
  <c r="I96" i="12"/>
  <c r="D96" i="12"/>
  <c r="I95" i="12"/>
  <c r="D95" i="12"/>
  <c r="I94" i="12"/>
  <c r="D94" i="12"/>
  <c r="I93" i="12"/>
  <c r="D93" i="12"/>
  <c r="I92" i="12"/>
  <c r="D92" i="12"/>
  <c r="I91" i="12"/>
  <c r="D91" i="12"/>
  <c r="I90" i="12"/>
  <c r="D90" i="12"/>
  <c r="I89" i="12"/>
  <c r="D89" i="12"/>
  <c r="I88" i="12"/>
  <c r="D88" i="12"/>
  <c r="I87" i="12"/>
  <c r="D87" i="12"/>
  <c r="I86" i="12"/>
  <c r="D86" i="12"/>
  <c r="I85" i="12"/>
  <c r="D85" i="12"/>
  <c r="I84" i="12"/>
  <c r="D84" i="12"/>
  <c r="I83" i="12"/>
  <c r="D83" i="12"/>
  <c r="I82" i="12"/>
  <c r="D82" i="12"/>
  <c r="I81" i="12"/>
  <c r="D81" i="12"/>
  <c r="I80" i="12"/>
  <c r="D80" i="12"/>
  <c r="I79" i="12"/>
  <c r="D79" i="12"/>
  <c r="I78" i="12"/>
  <c r="D78" i="12"/>
  <c r="I77" i="12"/>
  <c r="D77" i="12"/>
  <c r="I76" i="12"/>
  <c r="D76" i="12"/>
  <c r="I75" i="12"/>
  <c r="D75" i="12"/>
  <c r="I74" i="12"/>
  <c r="D74" i="12"/>
  <c r="I73" i="12"/>
  <c r="D73" i="12"/>
  <c r="I72" i="12"/>
  <c r="D72" i="12"/>
  <c r="I71" i="12"/>
  <c r="D71" i="12"/>
  <c r="I70" i="12"/>
  <c r="D70" i="12"/>
  <c r="I69" i="12"/>
  <c r="D69" i="12"/>
  <c r="I68" i="12"/>
  <c r="D68" i="12"/>
  <c r="I67" i="12"/>
  <c r="D67" i="12"/>
  <c r="I66" i="12"/>
  <c r="D66" i="12"/>
  <c r="I65" i="12"/>
  <c r="D65" i="12"/>
  <c r="I64" i="12"/>
  <c r="D64" i="12"/>
  <c r="I63" i="12"/>
  <c r="D63" i="12"/>
  <c r="I62" i="12"/>
  <c r="D62" i="12"/>
  <c r="I61" i="12"/>
  <c r="D61" i="12"/>
  <c r="I60" i="12"/>
  <c r="D60" i="12"/>
  <c r="I59" i="12"/>
  <c r="D59" i="12"/>
  <c r="I58" i="12"/>
  <c r="D58" i="12"/>
  <c r="I57" i="12"/>
  <c r="D57" i="12"/>
  <c r="I56" i="12"/>
  <c r="D56" i="12"/>
  <c r="I55" i="12"/>
  <c r="D55" i="12"/>
  <c r="I54" i="12"/>
  <c r="D54" i="12"/>
  <c r="I53" i="12"/>
  <c r="D53" i="12"/>
  <c r="I52" i="12"/>
  <c r="D52" i="12"/>
  <c r="I51" i="12"/>
  <c r="D51" i="12"/>
  <c r="I50" i="12"/>
  <c r="D50" i="12"/>
  <c r="I49" i="12"/>
  <c r="D49" i="12"/>
  <c r="I48" i="12"/>
  <c r="D48" i="12"/>
  <c r="I47" i="12"/>
  <c r="D47" i="12"/>
  <c r="I46" i="12"/>
  <c r="D46" i="12"/>
  <c r="I45" i="12"/>
  <c r="D45" i="12"/>
  <c r="I44" i="12"/>
  <c r="D44" i="12"/>
  <c r="I43" i="12"/>
  <c r="D43" i="12"/>
  <c r="I42" i="12"/>
  <c r="D42" i="12"/>
  <c r="I41" i="12"/>
  <c r="D41" i="12"/>
  <c r="I40" i="12"/>
  <c r="D40" i="12"/>
  <c r="I39" i="12"/>
  <c r="D39" i="12"/>
  <c r="I38" i="12"/>
  <c r="D38" i="12"/>
  <c r="I37" i="12"/>
  <c r="D37" i="12"/>
  <c r="I36" i="12"/>
  <c r="D36" i="12"/>
  <c r="I35" i="12"/>
  <c r="D35" i="12"/>
  <c r="I34" i="12"/>
  <c r="D34" i="12"/>
  <c r="I33" i="12"/>
  <c r="D33" i="12"/>
  <c r="I32" i="12"/>
  <c r="D32" i="12"/>
  <c r="I31" i="12"/>
  <c r="D31" i="12"/>
  <c r="I30" i="12"/>
  <c r="D30" i="12"/>
  <c r="I29" i="12"/>
  <c r="D29" i="12"/>
  <c r="I28" i="12"/>
  <c r="D28" i="12"/>
  <c r="I27" i="12"/>
  <c r="D27" i="12"/>
  <c r="I26" i="12"/>
  <c r="D26" i="12"/>
  <c r="I25" i="12"/>
  <c r="D25" i="12"/>
  <c r="I24" i="12"/>
  <c r="D24" i="12"/>
  <c r="I23" i="12"/>
  <c r="D23" i="12"/>
  <c r="I22" i="12"/>
  <c r="D22" i="12"/>
  <c r="I21" i="12"/>
  <c r="D21" i="12"/>
  <c r="I20" i="12"/>
  <c r="D20" i="12"/>
  <c r="I19" i="12"/>
  <c r="D19" i="12"/>
  <c r="I18" i="12"/>
  <c r="D18" i="12"/>
  <c r="I17" i="12"/>
  <c r="D17" i="12"/>
  <c r="I16" i="12"/>
  <c r="D16" i="12"/>
  <c r="I15" i="12"/>
  <c r="D15" i="12"/>
  <c r="I14" i="12"/>
  <c r="D14" i="12"/>
  <c r="I13" i="12"/>
  <c r="D13" i="12"/>
  <c r="I12" i="12"/>
  <c r="D12" i="12"/>
  <c r="I11" i="12"/>
  <c r="D11" i="12"/>
  <c r="I10" i="12"/>
  <c r="D10" i="12"/>
  <c r="I9" i="12"/>
  <c r="D9" i="12"/>
  <c r="I8" i="12"/>
  <c r="D8" i="12"/>
  <c r="I7" i="12"/>
  <c r="D7" i="12"/>
  <c r="I6" i="12"/>
  <c r="D6" i="12"/>
  <c r="I165" i="10"/>
  <c r="D165" i="10"/>
  <c r="I164" i="10"/>
  <c r="D164" i="10"/>
  <c r="I163" i="10"/>
  <c r="D163" i="10"/>
  <c r="I162" i="10"/>
  <c r="D162" i="10"/>
  <c r="I161" i="10"/>
  <c r="D161" i="10"/>
  <c r="I160" i="10"/>
  <c r="D160" i="10"/>
  <c r="I159" i="10"/>
  <c r="D159" i="10"/>
  <c r="I158" i="10"/>
  <c r="D158" i="10"/>
  <c r="I157" i="10"/>
  <c r="D157" i="10"/>
  <c r="I156" i="10"/>
  <c r="D156" i="10"/>
  <c r="I155" i="10"/>
  <c r="D155" i="10"/>
  <c r="I154" i="10"/>
  <c r="D154" i="10"/>
  <c r="I153" i="10"/>
  <c r="D153" i="10"/>
  <c r="I152" i="10"/>
  <c r="D152" i="10"/>
  <c r="I151" i="10"/>
  <c r="D151" i="10"/>
  <c r="I150" i="10"/>
  <c r="D150" i="10"/>
  <c r="I149" i="10"/>
  <c r="D149" i="10"/>
  <c r="I148" i="10"/>
  <c r="D148" i="10"/>
  <c r="I147" i="10"/>
  <c r="D147" i="10"/>
  <c r="I146" i="10"/>
  <c r="D146" i="10"/>
  <c r="I145" i="10"/>
  <c r="D145" i="10"/>
  <c r="I144" i="10"/>
  <c r="D144" i="10"/>
  <c r="I143" i="10"/>
  <c r="D143" i="10"/>
  <c r="I142" i="10"/>
  <c r="D142" i="10"/>
  <c r="I141" i="10"/>
  <c r="D141" i="10"/>
  <c r="I140" i="10"/>
  <c r="D140" i="10"/>
  <c r="I139" i="10"/>
  <c r="D139" i="10"/>
  <c r="I138" i="10"/>
  <c r="D138" i="10"/>
  <c r="I137" i="10"/>
  <c r="D137" i="10"/>
  <c r="I136" i="10"/>
  <c r="D136" i="10"/>
  <c r="I135" i="10"/>
  <c r="D135" i="10"/>
  <c r="I134" i="10"/>
  <c r="D134" i="10"/>
  <c r="I133" i="10"/>
  <c r="D133" i="10"/>
  <c r="I132" i="10"/>
  <c r="D132" i="10"/>
  <c r="I131" i="10"/>
  <c r="D131" i="10"/>
  <c r="I130" i="10"/>
  <c r="D130" i="10"/>
  <c r="I129" i="10"/>
  <c r="D129" i="10"/>
  <c r="I128" i="10"/>
  <c r="D128" i="10"/>
  <c r="I127" i="10"/>
  <c r="D127" i="10"/>
  <c r="I126" i="10"/>
  <c r="D126" i="10"/>
  <c r="I125" i="10"/>
  <c r="D125" i="10"/>
  <c r="I124" i="10"/>
  <c r="D124" i="10"/>
  <c r="I123" i="10"/>
  <c r="D123" i="10"/>
  <c r="I122" i="10"/>
  <c r="D122" i="10"/>
  <c r="I121" i="10"/>
  <c r="D121" i="10"/>
  <c r="I120" i="10"/>
  <c r="D120" i="10"/>
  <c r="I119" i="10"/>
  <c r="D119" i="10"/>
  <c r="I118" i="10"/>
  <c r="D118" i="10"/>
  <c r="I117" i="10"/>
  <c r="D117" i="10"/>
  <c r="I116" i="10"/>
  <c r="D116" i="10"/>
  <c r="I115" i="10"/>
  <c r="D115" i="10"/>
  <c r="I114" i="10"/>
  <c r="D114" i="10"/>
  <c r="I113" i="10"/>
  <c r="D113" i="10"/>
  <c r="I112" i="10"/>
  <c r="D112" i="10"/>
  <c r="I111" i="10"/>
  <c r="D111" i="10"/>
  <c r="I110" i="10"/>
  <c r="D110" i="10"/>
  <c r="I109" i="10"/>
  <c r="D109" i="10"/>
  <c r="I108" i="10"/>
  <c r="D108" i="10"/>
  <c r="I107" i="10"/>
  <c r="D107" i="10"/>
  <c r="I106" i="10"/>
  <c r="D106" i="10"/>
  <c r="I105" i="10"/>
  <c r="D105" i="10"/>
  <c r="I104" i="10"/>
  <c r="D104" i="10"/>
  <c r="I103" i="10"/>
  <c r="D103" i="10"/>
  <c r="I102" i="10"/>
  <c r="D102" i="10"/>
  <c r="I101" i="10"/>
  <c r="D101" i="10"/>
  <c r="I100" i="10"/>
  <c r="D100" i="10"/>
  <c r="I99" i="10"/>
  <c r="D99" i="10"/>
  <c r="I98" i="10"/>
  <c r="D98" i="10"/>
  <c r="I97" i="10"/>
  <c r="D97" i="10"/>
  <c r="I96" i="10"/>
  <c r="D96" i="10"/>
  <c r="I95" i="10"/>
  <c r="D95" i="10"/>
  <c r="I94" i="10"/>
  <c r="D94" i="10"/>
  <c r="I93" i="10"/>
  <c r="D93" i="10"/>
  <c r="I92" i="10"/>
  <c r="D92" i="10"/>
  <c r="I91" i="10"/>
  <c r="D91" i="10"/>
  <c r="I90" i="10"/>
  <c r="D90" i="10"/>
  <c r="I89" i="10"/>
  <c r="D89" i="10"/>
  <c r="I88" i="10"/>
  <c r="D88" i="10"/>
  <c r="I87" i="10"/>
  <c r="D87" i="10"/>
  <c r="I86" i="10"/>
  <c r="D86" i="10"/>
  <c r="I85" i="10"/>
  <c r="D85" i="10"/>
  <c r="I84" i="10"/>
  <c r="D84" i="10"/>
  <c r="I83" i="10"/>
  <c r="D83" i="10"/>
  <c r="I82" i="10"/>
  <c r="D82" i="10"/>
  <c r="I81" i="10"/>
  <c r="D81" i="10"/>
  <c r="I80" i="10"/>
  <c r="D80" i="10"/>
  <c r="I79" i="10"/>
  <c r="D79" i="10"/>
  <c r="I78" i="10"/>
  <c r="D78" i="10"/>
  <c r="I77" i="10"/>
  <c r="D77" i="10"/>
  <c r="I76" i="10"/>
  <c r="D76" i="10"/>
  <c r="I75" i="10"/>
  <c r="D75" i="10"/>
  <c r="I74" i="10"/>
  <c r="D74" i="10"/>
  <c r="I73" i="10"/>
  <c r="D73" i="10"/>
  <c r="I72" i="10"/>
  <c r="D72" i="10"/>
  <c r="I71" i="10"/>
  <c r="D71" i="10"/>
  <c r="I70" i="10"/>
  <c r="D70" i="10"/>
  <c r="I69" i="10"/>
  <c r="D69" i="10"/>
  <c r="I68" i="10"/>
  <c r="D68" i="10"/>
  <c r="I67" i="10"/>
  <c r="D67" i="10"/>
  <c r="I66" i="10"/>
  <c r="D66" i="10"/>
  <c r="I65" i="10"/>
  <c r="D65" i="10"/>
  <c r="I64" i="10"/>
  <c r="D64" i="10"/>
  <c r="I63" i="10"/>
  <c r="D63" i="10"/>
  <c r="I62" i="10"/>
  <c r="D62" i="10"/>
  <c r="I61" i="10"/>
  <c r="D61" i="10"/>
  <c r="I60" i="10"/>
  <c r="D60" i="10"/>
  <c r="I59" i="10"/>
  <c r="D59" i="10"/>
  <c r="I58" i="10"/>
  <c r="D58" i="10"/>
  <c r="I57" i="10"/>
  <c r="D57" i="10"/>
  <c r="I56" i="10"/>
  <c r="D56" i="10"/>
  <c r="I55" i="10"/>
  <c r="D55" i="10"/>
  <c r="I54" i="10"/>
  <c r="D54" i="10"/>
  <c r="I53" i="10"/>
  <c r="D53" i="10"/>
  <c r="I52" i="10"/>
  <c r="D52" i="10"/>
  <c r="I51" i="10"/>
  <c r="D51" i="10"/>
  <c r="I50" i="10"/>
  <c r="D50" i="10"/>
  <c r="I49" i="10"/>
  <c r="D49" i="10"/>
  <c r="I48" i="10"/>
  <c r="D48" i="10"/>
  <c r="I47" i="10"/>
  <c r="D47" i="10"/>
  <c r="I46" i="10"/>
  <c r="D46" i="10"/>
  <c r="I45" i="10"/>
  <c r="D45" i="10"/>
  <c r="I44" i="10"/>
  <c r="D44" i="10"/>
  <c r="I43" i="10"/>
  <c r="D43" i="10"/>
  <c r="I42" i="10"/>
  <c r="D42" i="10"/>
  <c r="I41" i="10"/>
  <c r="D41" i="10"/>
  <c r="I40" i="10"/>
  <c r="D40" i="10"/>
  <c r="I39" i="10"/>
  <c r="D39" i="10"/>
  <c r="I38" i="10"/>
  <c r="D38" i="10"/>
  <c r="I37" i="10"/>
  <c r="D37" i="10"/>
  <c r="I36" i="10"/>
  <c r="D36" i="10"/>
  <c r="I35" i="10"/>
  <c r="D35" i="10"/>
  <c r="I34" i="10"/>
  <c r="D34" i="10"/>
  <c r="I33" i="10"/>
  <c r="D33" i="10"/>
  <c r="I32" i="10"/>
  <c r="D32" i="10"/>
  <c r="I31" i="10"/>
  <c r="D31" i="10"/>
  <c r="I30" i="10"/>
  <c r="D30" i="10"/>
  <c r="I29" i="10"/>
  <c r="D29" i="10"/>
  <c r="I28" i="10"/>
  <c r="D28" i="10"/>
  <c r="I27" i="10"/>
  <c r="D27" i="10"/>
  <c r="I26" i="10"/>
  <c r="D26" i="10"/>
  <c r="I25" i="10"/>
  <c r="D25" i="10"/>
  <c r="I24" i="10"/>
  <c r="D24" i="10"/>
  <c r="I23" i="10"/>
  <c r="D23" i="10"/>
  <c r="I22" i="10"/>
  <c r="D22" i="10"/>
  <c r="I21" i="10"/>
  <c r="D21" i="10"/>
  <c r="I20" i="10"/>
  <c r="D20" i="10"/>
  <c r="I19" i="10"/>
  <c r="D19" i="10"/>
  <c r="I18" i="10"/>
  <c r="D18" i="10"/>
  <c r="I17" i="10"/>
  <c r="D17" i="10"/>
  <c r="I16" i="10"/>
  <c r="D16" i="10"/>
  <c r="I15" i="10"/>
  <c r="D15" i="10"/>
  <c r="I14" i="10"/>
  <c r="D14" i="10"/>
  <c r="I13" i="10"/>
  <c r="D13" i="10"/>
  <c r="I12" i="10"/>
  <c r="D12" i="10"/>
  <c r="I11" i="10"/>
  <c r="D11" i="10"/>
  <c r="I10" i="10"/>
  <c r="D10" i="10"/>
  <c r="I9" i="10"/>
  <c r="D9" i="10"/>
  <c r="I8" i="10"/>
  <c r="D8" i="10"/>
  <c r="I7" i="10"/>
  <c r="D7" i="10"/>
  <c r="I6" i="10"/>
  <c r="D6" i="10"/>
  <c r="B2" i="10" s="1"/>
  <c r="D7" i="2" s="1"/>
  <c r="I165" i="9"/>
  <c r="D165" i="9"/>
  <c r="I164" i="9"/>
  <c r="D164" i="9"/>
  <c r="I163" i="9"/>
  <c r="D163" i="9"/>
  <c r="I162" i="9"/>
  <c r="D162" i="9"/>
  <c r="I161" i="9"/>
  <c r="D161" i="9"/>
  <c r="I160" i="9"/>
  <c r="D160" i="9"/>
  <c r="I159" i="9"/>
  <c r="D159" i="9"/>
  <c r="I158" i="9"/>
  <c r="D158" i="9"/>
  <c r="I157" i="9"/>
  <c r="D157" i="9"/>
  <c r="I156" i="9"/>
  <c r="D156" i="9"/>
  <c r="I155" i="9"/>
  <c r="D155" i="9"/>
  <c r="I154" i="9"/>
  <c r="D154" i="9"/>
  <c r="I153" i="9"/>
  <c r="D153" i="9"/>
  <c r="I152" i="9"/>
  <c r="D152" i="9"/>
  <c r="I151" i="9"/>
  <c r="D151" i="9"/>
  <c r="I150" i="9"/>
  <c r="D150" i="9"/>
  <c r="I149" i="9"/>
  <c r="D149" i="9"/>
  <c r="I148" i="9"/>
  <c r="D148" i="9"/>
  <c r="I147" i="9"/>
  <c r="D147" i="9"/>
  <c r="I146" i="9"/>
  <c r="D146" i="9"/>
  <c r="I145" i="9"/>
  <c r="D145" i="9"/>
  <c r="I144" i="9"/>
  <c r="D144" i="9"/>
  <c r="I143" i="9"/>
  <c r="D143" i="9"/>
  <c r="I142" i="9"/>
  <c r="D142" i="9"/>
  <c r="I141" i="9"/>
  <c r="D141" i="9"/>
  <c r="I140" i="9"/>
  <c r="D140" i="9"/>
  <c r="I139" i="9"/>
  <c r="D139" i="9"/>
  <c r="I138" i="9"/>
  <c r="D138" i="9"/>
  <c r="I137" i="9"/>
  <c r="D137" i="9"/>
  <c r="I136" i="9"/>
  <c r="D136" i="9"/>
  <c r="I135" i="9"/>
  <c r="D135" i="9"/>
  <c r="I134" i="9"/>
  <c r="D134" i="9"/>
  <c r="I133" i="9"/>
  <c r="D133" i="9"/>
  <c r="I132" i="9"/>
  <c r="D132" i="9"/>
  <c r="I131" i="9"/>
  <c r="D131" i="9"/>
  <c r="I130" i="9"/>
  <c r="D130" i="9"/>
  <c r="I129" i="9"/>
  <c r="D129" i="9"/>
  <c r="I128" i="9"/>
  <c r="D128" i="9"/>
  <c r="I127" i="9"/>
  <c r="D127" i="9"/>
  <c r="I126" i="9"/>
  <c r="D126" i="9"/>
  <c r="I125" i="9"/>
  <c r="D125" i="9"/>
  <c r="I124" i="9"/>
  <c r="D124" i="9"/>
  <c r="I123" i="9"/>
  <c r="D123" i="9"/>
  <c r="I122" i="9"/>
  <c r="D122" i="9"/>
  <c r="I121" i="9"/>
  <c r="D121" i="9"/>
  <c r="I120" i="9"/>
  <c r="D120" i="9"/>
  <c r="I119" i="9"/>
  <c r="D119" i="9"/>
  <c r="I118" i="9"/>
  <c r="D118" i="9"/>
  <c r="I117" i="9"/>
  <c r="D117" i="9"/>
  <c r="I116" i="9"/>
  <c r="D116" i="9"/>
  <c r="I115" i="9"/>
  <c r="D115" i="9"/>
  <c r="I114" i="9"/>
  <c r="D114" i="9"/>
  <c r="I113" i="9"/>
  <c r="D113" i="9"/>
  <c r="I112" i="9"/>
  <c r="D112" i="9"/>
  <c r="I111" i="9"/>
  <c r="D111" i="9"/>
  <c r="I110" i="9"/>
  <c r="D110" i="9"/>
  <c r="I109" i="9"/>
  <c r="D109" i="9"/>
  <c r="I108" i="9"/>
  <c r="D108" i="9"/>
  <c r="I107" i="9"/>
  <c r="D107" i="9"/>
  <c r="I106" i="9"/>
  <c r="D106" i="9"/>
  <c r="I105" i="9"/>
  <c r="D105" i="9"/>
  <c r="I104" i="9"/>
  <c r="D104" i="9"/>
  <c r="I103" i="9"/>
  <c r="D103" i="9"/>
  <c r="I102" i="9"/>
  <c r="D102" i="9"/>
  <c r="I101" i="9"/>
  <c r="D101" i="9"/>
  <c r="I100" i="9"/>
  <c r="D100" i="9"/>
  <c r="I99" i="9"/>
  <c r="D99" i="9"/>
  <c r="I98" i="9"/>
  <c r="D98" i="9"/>
  <c r="I97" i="9"/>
  <c r="D97" i="9"/>
  <c r="I96" i="9"/>
  <c r="D96" i="9"/>
  <c r="I95" i="9"/>
  <c r="D95" i="9"/>
  <c r="I94" i="9"/>
  <c r="D94" i="9"/>
  <c r="I93" i="9"/>
  <c r="D93" i="9"/>
  <c r="I92" i="9"/>
  <c r="D92" i="9"/>
  <c r="I91" i="9"/>
  <c r="D91" i="9"/>
  <c r="I90" i="9"/>
  <c r="D90" i="9"/>
  <c r="I89" i="9"/>
  <c r="D89" i="9"/>
  <c r="I88" i="9"/>
  <c r="D88" i="9"/>
  <c r="I87" i="9"/>
  <c r="D87" i="9"/>
  <c r="I86" i="9"/>
  <c r="D86" i="9"/>
  <c r="I85" i="9"/>
  <c r="D85" i="9"/>
  <c r="I84" i="9"/>
  <c r="D84" i="9"/>
  <c r="I83" i="9"/>
  <c r="D83" i="9"/>
  <c r="I82" i="9"/>
  <c r="D82" i="9"/>
  <c r="I81" i="9"/>
  <c r="D81" i="9"/>
  <c r="I80" i="9"/>
  <c r="D80" i="9"/>
  <c r="I79" i="9"/>
  <c r="D79" i="9"/>
  <c r="I78" i="9"/>
  <c r="D78" i="9"/>
  <c r="I77" i="9"/>
  <c r="D77" i="9"/>
  <c r="I76" i="9"/>
  <c r="D76" i="9"/>
  <c r="I75" i="9"/>
  <c r="D75" i="9"/>
  <c r="I74" i="9"/>
  <c r="D74" i="9"/>
  <c r="I73" i="9"/>
  <c r="D73" i="9"/>
  <c r="I72" i="9"/>
  <c r="D72" i="9"/>
  <c r="I71" i="9"/>
  <c r="D71" i="9"/>
  <c r="I70" i="9"/>
  <c r="D70" i="9"/>
  <c r="I69" i="9"/>
  <c r="D69" i="9"/>
  <c r="I68" i="9"/>
  <c r="D68" i="9"/>
  <c r="I67" i="9"/>
  <c r="D67" i="9"/>
  <c r="I66" i="9"/>
  <c r="D66" i="9"/>
  <c r="I65" i="9"/>
  <c r="D65" i="9"/>
  <c r="I64" i="9"/>
  <c r="D64" i="9"/>
  <c r="I63" i="9"/>
  <c r="D63" i="9"/>
  <c r="I62" i="9"/>
  <c r="D62" i="9"/>
  <c r="I61" i="9"/>
  <c r="D61" i="9"/>
  <c r="I60" i="9"/>
  <c r="D60" i="9"/>
  <c r="I59" i="9"/>
  <c r="D59" i="9"/>
  <c r="I58" i="9"/>
  <c r="D58" i="9"/>
  <c r="I57" i="9"/>
  <c r="D57" i="9"/>
  <c r="I56" i="9"/>
  <c r="D56" i="9"/>
  <c r="I55" i="9"/>
  <c r="D55" i="9"/>
  <c r="I54" i="9"/>
  <c r="D54" i="9"/>
  <c r="I53" i="9"/>
  <c r="D53" i="9"/>
  <c r="I52" i="9"/>
  <c r="D52" i="9"/>
  <c r="I51" i="9"/>
  <c r="D51" i="9"/>
  <c r="I50" i="9"/>
  <c r="D50" i="9"/>
  <c r="I49" i="9"/>
  <c r="D49" i="9"/>
  <c r="I48" i="9"/>
  <c r="D48" i="9"/>
  <c r="I47" i="9"/>
  <c r="D47" i="9"/>
  <c r="I46" i="9"/>
  <c r="D46" i="9"/>
  <c r="I45" i="9"/>
  <c r="D45" i="9"/>
  <c r="I44" i="9"/>
  <c r="D44" i="9"/>
  <c r="I43" i="9"/>
  <c r="D43" i="9"/>
  <c r="I42" i="9"/>
  <c r="D42" i="9"/>
  <c r="I41" i="9"/>
  <c r="D41" i="9"/>
  <c r="I40" i="9"/>
  <c r="D40" i="9"/>
  <c r="I39" i="9"/>
  <c r="D39" i="9"/>
  <c r="I38" i="9"/>
  <c r="D38" i="9"/>
  <c r="I37" i="9"/>
  <c r="D37" i="9"/>
  <c r="I36" i="9"/>
  <c r="D36" i="9"/>
  <c r="I35" i="9"/>
  <c r="D35" i="9"/>
  <c r="I34" i="9"/>
  <c r="D34" i="9"/>
  <c r="I33" i="9"/>
  <c r="D33" i="9"/>
  <c r="I32" i="9"/>
  <c r="D32" i="9"/>
  <c r="I31" i="9"/>
  <c r="D31" i="9"/>
  <c r="I30" i="9"/>
  <c r="D30" i="9"/>
  <c r="I29" i="9"/>
  <c r="D29" i="9"/>
  <c r="I28" i="9"/>
  <c r="D28" i="9"/>
  <c r="I27" i="9"/>
  <c r="D27" i="9"/>
  <c r="I26" i="9"/>
  <c r="D26" i="9"/>
  <c r="I25" i="9"/>
  <c r="D25" i="9"/>
  <c r="I24" i="9"/>
  <c r="D24" i="9"/>
  <c r="I23" i="9"/>
  <c r="D23" i="9"/>
  <c r="I22" i="9"/>
  <c r="D22" i="9"/>
  <c r="I21" i="9"/>
  <c r="D21" i="9"/>
  <c r="I20" i="9"/>
  <c r="D20" i="9"/>
  <c r="I19" i="9"/>
  <c r="D19" i="9"/>
  <c r="I18" i="9"/>
  <c r="D18" i="9"/>
  <c r="I17" i="9"/>
  <c r="D17" i="9"/>
  <c r="I16" i="9"/>
  <c r="D16" i="9"/>
  <c r="I15" i="9"/>
  <c r="D15" i="9"/>
  <c r="I14" i="9"/>
  <c r="D14" i="9"/>
  <c r="I13" i="9"/>
  <c r="D13" i="9"/>
  <c r="I12" i="9"/>
  <c r="D12" i="9"/>
  <c r="I11" i="9"/>
  <c r="D11" i="9"/>
  <c r="I10" i="9"/>
  <c r="D10" i="9"/>
  <c r="I9" i="9"/>
  <c r="D9" i="9"/>
  <c r="I8" i="9"/>
  <c r="D8" i="9"/>
  <c r="I7" i="9"/>
  <c r="D7" i="9"/>
  <c r="I6" i="9"/>
  <c r="D6" i="9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6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C2" i="14" l="1"/>
  <c r="D8" i="11" s="1"/>
  <c r="B2" i="14"/>
  <c r="D7" i="11" s="1"/>
  <c r="C2" i="12"/>
  <c r="B8" i="11" s="1"/>
  <c r="B4" i="11" s="1"/>
  <c r="I11" i="20" s="1"/>
  <c r="B2" i="12"/>
  <c r="B7" i="11" s="1"/>
  <c r="C2" i="9"/>
  <c r="C8" i="2" s="1"/>
  <c r="B2" i="9"/>
  <c r="C7" i="2" s="1"/>
  <c r="C2" i="10"/>
  <c r="D8" i="2" s="1"/>
  <c r="C4" i="2"/>
  <c r="J7" i="20" s="1"/>
  <c r="C4" i="11"/>
  <c r="J11" i="20" s="1"/>
  <c r="C135" i="19"/>
  <c r="B9" i="19" s="1"/>
  <c r="B22" i="3" s="1"/>
  <c r="B135" i="19"/>
  <c r="B8" i="19" s="1"/>
  <c r="B21" i="3" s="1"/>
  <c r="B11" i="15"/>
  <c r="O11" i="20" s="1"/>
  <c r="O7" i="20"/>
  <c r="C135" i="18"/>
  <c r="B9" i="18" s="1"/>
  <c r="B20" i="3" s="1"/>
  <c r="B135" i="18"/>
  <c r="B8" i="18" s="1"/>
  <c r="B19" i="3" s="1"/>
  <c r="C4" i="17"/>
  <c r="B13" i="16"/>
  <c r="G22" i="16" s="1" a="1"/>
  <c r="G22" i="16" s="1"/>
  <c r="E10" i="15"/>
  <c r="C11" i="15"/>
  <c r="P11" i="20" s="1"/>
  <c r="E5" i="15"/>
  <c r="C6" i="15"/>
  <c r="E6" i="15" s="1"/>
  <c r="B2" i="8"/>
  <c r="B7" i="2" s="1"/>
  <c r="C2" i="8"/>
  <c r="B8" i="2" s="1"/>
  <c r="E4" i="11" l="1"/>
  <c r="L11" i="20" s="1"/>
  <c r="A4" i="11"/>
  <c r="H11" i="20" s="1"/>
  <c r="B4" i="2"/>
  <c r="I7" i="20" s="1"/>
  <c r="E4" i="2"/>
  <c r="L7" i="20" s="1"/>
  <c r="A4" i="2"/>
  <c r="E4" i="17"/>
  <c r="AM7" i="20" s="1"/>
  <c r="AK7" i="20"/>
  <c r="D11" i="15"/>
  <c r="R7" i="20"/>
  <c r="B23" i="21" s="1"/>
  <c r="G24" i="16"/>
  <c r="H24" i="16" s="1"/>
  <c r="I24" i="16" s="1"/>
  <c r="G34" i="16"/>
  <c r="H34" i="16" s="1"/>
  <c r="I34" i="16" s="1"/>
  <c r="G36" i="16"/>
  <c r="H36" i="16" s="1"/>
  <c r="I36" i="16" s="1"/>
  <c r="G39" i="16"/>
  <c r="H39" i="16" s="1"/>
  <c r="I39" i="16" s="1"/>
  <c r="G37" i="16"/>
  <c r="H37" i="16" s="1"/>
  <c r="I37" i="16" s="1"/>
  <c r="G32" i="16"/>
  <c r="H32" i="16" s="1"/>
  <c r="I32" i="16" s="1"/>
  <c r="G35" i="16"/>
  <c r="H35" i="16" s="1"/>
  <c r="I35" i="16" s="1"/>
  <c r="G25" i="16"/>
  <c r="H25" i="16" s="1"/>
  <c r="I25" i="16" s="1"/>
  <c r="G27" i="16"/>
  <c r="H27" i="16" s="1"/>
  <c r="I27" i="16" s="1"/>
  <c r="G26" i="16"/>
  <c r="H26" i="16" s="1"/>
  <c r="I26" i="16" s="1"/>
  <c r="G28" i="16"/>
  <c r="H28" i="16" s="1"/>
  <c r="I28" i="16" s="1"/>
  <c r="G29" i="16"/>
  <c r="H29" i="16" s="1"/>
  <c r="I29" i="16" s="1"/>
  <c r="G31" i="16"/>
  <c r="H31" i="16" s="1"/>
  <c r="I31" i="16" s="1"/>
  <c r="G33" i="16"/>
  <c r="H33" i="16" s="1"/>
  <c r="I33" i="16" s="1"/>
  <c r="G38" i="16"/>
  <c r="H38" i="16" s="1"/>
  <c r="I38" i="16" s="1"/>
  <c r="G21" i="16"/>
  <c r="H21" i="16" s="1"/>
  <c r="G23" i="16"/>
  <c r="H23" i="16" s="1"/>
  <c r="I23" i="16" s="1"/>
  <c r="H22" i="16"/>
  <c r="I22" i="16" s="1"/>
  <c r="D4" i="11"/>
  <c r="K11" i="20" s="1"/>
  <c r="B19" i="21" s="1"/>
  <c r="H7" i="20" l="1"/>
  <c r="D4" i="2"/>
  <c r="K7" i="20" s="1"/>
  <c r="B15" i="21" s="1"/>
  <c r="E11" i="15"/>
  <c r="R11" i="20" s="1"/>
  <c r="B27" i="21" s="1"/>
  <c r="Q11" i="20"/>
  <c r="I21" i="16"/>
  <c r="I47" i="16" s="1"/>
  <c r="D4" i="16" s="1"/>
  <c r="AF7" i="20" s="1"/>
  <c r="H46" i="16"/>
  <c r="H45" i="16"/>
  <c r="C4" i="16" l="1"/>
  <c r="AE7" i="20" s="1"/>
  <c r="A4" i="16"/>
  <c r="AC7" i="20" s="1"/>
  <c r="B4" i="16"/>
  <c r="AD7" i="20" s="1"/>
  <c r="C72" i="7" l="1" a="1"/>
  <c r="C72" i="7" s="1"/>
  <c r="C71" i="7"/>
  <c r="B45" i="7"/>
  <c r="B44" i="7"/>
  <c r="B31" i="7"/>
  <c r="B30" i="7"/>
  <c r="B29" i="7"/>
  <c r="B40" i="7" s="1"/>
  <c r="J14" i="7"/>
  <c r="D4" i="7" s="1"/>
  <c r="F14" i="7"/>
  <c r="B14" i="7"/>
  <c r="B4" i="7" s="1"/>
  <c r="C4" i="7"/>
  <c r="E4" i="7" l="1"/>
  <c r="B16" i="3"/>
  <c r="B30" i="1"/>
  <c r="C134" i="4"/>
  <c r="B134" i="4"/>
  <c r="B29" i="1"/>
  <c r="B40" i="1" s="1"/>
  <c r="C72" i="1" a="1"/>
  <c r="C72" i="1" s="1"/>
  <c r="C71" i="1"/>
  <c r="J14" i="1"/>
  <c r="D4" i="1" s="1"/>
  <c r="F14" i="1"/>
  <c r="C4" i="1" s="1"/>
  <c r="B14" i="1"/>
  <c r="B4" i="1" s="1"/>
  <c r="B31" i="1"/>
  <c r="B45" i="1"/>
  <c r="E4" i="1" l="1"/>
  <c r="C135" i="4"/>
  <c r="B9" i="4" s="1"/>
  <c r="B18" i="3" s="1"/>
  <c r="B135" i="4"/>
  <c r="B8" i="4" s="1"/>
  <c r="B17" i="3" s="1"/>
  <c r="D5" i="3"/>
  <c r="C5" i="3"/>
  <c r="B34" i="7" l="1"/>
  <c r="B43" i="7" s="1"/>
  <c r="D5" i="7" s="1"/>
  <c r="D11" i="20" s="1"/>
  <c r="X7" i="20"/>
  <c r="B33" i="1"/>
  <c r="W7" i="20"/>
  <c r="B5" i="3"/>
  <c r="V7" i="20"/>
  <c r="F5" i="3"/>
  <c r="Z7" i="20" s="1"/>
  <c r="B32" i="7"/>
  <c r="B41" i="7" s="1"/>
  <c r="B5" i="7" s="1"/>
  <c r="B34" i="1"/>
  <c r="B43" i="1" s="1"/>
  <c r="D5" i="1" s="1"/>
  <c r="D7" i="20" s="1"/>
  <c r="B11" i="20" l="1"/>
  <c r="B32" i="1"/>
  <c r="B41" i="1" s="1"/>
  <c r="B5" i="1" s="1"/>
  <c r="E5" i="3"/>
  <c r="B33" i="7" l="1"/>
  <c r="B42" i="7" s="1"/>
  <c r="C5" i="7" s="1"/>
  <c r="Y7" i="20"/>
  <c r="B31" i="21" s="1"/>
  <c r="B7" i="20"/>
  <c r="B42" i="1"/>
  <c r="C5" i="1" s="1"/>
  <c r="C7" i="20" s="1"/>
  <c r="C11" i="20" l="1"/>
  <c r="E5" i="7"/>
  <c r="E11" i="20" s="1"/>
  <c r="B11" i="21" s="1"/>
  <c r="E5" i="1"/>
  <c r="E7" i="20" s="1"/>
  <c r="B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Wastling,Stephen</author>
  </authors>
  <commentList>
    <comment ref="A22" authorId="0" shapeId="0" xr:uid="{F8CD7D03-F755-4CD6-8617-33812CB2FEF7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Readout bandwidth from scanner: 
- GE in +/-kHz (typically around ±16 kHz)
- Philips fat-water shift in Px (typically 1.69 at 1.5T and 3.38 at 3T)
- Siemens in Hz/Px (typically 130 Hz/Px)</t>
        </r>
      </text>
    </comment>
    <comment ref="A23" authorId="0" shapeId="0" xr:uid="{651C4551-6F89-4C71-A26A-AE2A2D7CBB73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Scanner manufacturer, used when calculating the bandwidth in ±kHz</t>
        </r>
      </text>
    </comment>
    <comment ref="A24" authorId="0" shapeId="0" xr:uid="{BEE8F9A8-CC5B-4092-9DCD-2FD5C8EEC354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Used when calculating the bandwidth in ±kHz from the fat-water shift for Philips scanners</t>
        </r>
      </text>
    </comment>
    <comment ref="A25" authorId="0" shapeId="0" xr:uid="{726BE668-411C-4632-8D1F-171460AACF09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Q-factor for the head (typically set to 1)</t>
        </r>
      </text>
    </comment>
    <comment ref="A26" authorId="0" shapeId="0" xr:uid="{7B04C22F-FE73-4F11-8878-EEB1044C4DF0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Q-factor for the test object (typically set to 1)</t>
        </r>
      </text>
    </comment>
    <comment ref="A32" authorId="0" shapeId="0" xr:uid="{F7BBC151-A460-49E8-B094-25B7F5D4F337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3" authorId="0" shapeId="0" xr:uid="{1E8B175A-5AE9-4001-88C0-0EA8C5F03C79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4" authorId="0" shapeId="0" xr:uid="{917F97A2-A9D0-4691-975D-299179DF7CCA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7" authorId="0" shapeId="0" xr:uid="{38283000-E309-4DC4-8375-B8DB85DA1571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± Nominal bandwidth (kHz). Set to ± 30 kHz</t>
        </r>
      </text>
    </comment>
    <comment ref="A40" authorId="0" shapeId="0" xr:uid="{BCF7B128-4F3D-4B50-B33B-EDE4980BC695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Bandwidth normalisation</t>
        </r>
      </text>
    </comment>
    <comment ref="A41" authorId="0" shapeId="0" xr:uid="{667753AB-900C-4375-A071-C4FEEB55547F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Voxel size correction. As per MagNET guidance, voxel sizes are converted to cm.</t>
        </r>
      </text>
    </comment>
    <comment ref="A44" authorId="0" shapeId="0" xr:uid="{55D63C0E-B215-4BD1-AF14-3271A87DE82D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Scan-time correction. As per MagNET guidance, TR is converted to seconds</t>
        </r>
      </text>
    </comment>
    <comment ref="A45" authorId="0" shapeId="0" xr:uid="{0205E500-8DEB-4C97-9B45-C2DB11E9E17F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Coil loading normalisation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Wastling,Stephen</author>
  </authors>
  <commentList>
    <comment ref="A22" authorId="0" shapeId="0" xr:uid="{1A135F1C-1651-4CE0-8582-6AF3174FCCF4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Readout bandwidth from scanner: 
- GE in +/-kHz (typically around ±16 kHz)
- Philips fat-water shift in Px (typically 1.69 at 1.5T and 3.38 at 3T)
- Siemens in Hz/Px (typically 130 Hz/Px)</t>
        </r>
      </text>
    </comment>
    <comment ref="A23" authorId="0" shapeId="0" xr:uid="{5ADFB500-9553-4AFE-B6DE-81610AA89702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Scanner manufacturer, used when calculating the bandwidth in ±kHz</t>
        </r>
      </text>
    </comment>
    <comment ref="A24" authorId="0" shapeId="0" xr:uid="{11E66630-D108-4843-BF14-9B92258E075C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Used when calculating the bandwidth in ±kHz from the fat-water shift for Philips scanners</t>
        </r>
      </text>
    </comment>
    <comment ref="A25" authorId="0" shapeId="0" xr:uid="{E57CEA34-80FB-4CA4-AC87-45F7CCFC8382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Q-factor for the head (typically set to 1)</t>
        </r>
      </text>
    </comment>
    <comment ref="A26" authorId="0" shapeId="0" xr:uid="{83F5C219-AFA0-4812-A580-2FAFFD74B4FF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Q-factor for the test object (typically set to 1)</t>
        </r>
      </text>
    </comment>
    <comment ref="A32" authorId="0" shapeId="0" xr:uid="{C0D7EA62-79A4-4386-8C3F-80601A16FC2F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3" authorId="0" shapeId="0" xr:uid="{5587EA94-6818-4365-8E45-2EE1B6B2FFDD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4" authorId="0" shapeId="0" xr:uid="{7594E690-63A0-47D6-8C94-130BAAF79AA9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Copied from slice width sheet</t>
        </r>
      </text>
    </comment>
    <comment ref="A37" authorId="0" shapeId="0" xr:uid="{1F668CB9-6A25-4E02-AB77-0B631AF12616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± Nominal bandwidth (kHz). Set to ± 30 kHz</t>
        </r>
      </text>
    </comment>
    <comment ref="A40" authorId="0" shapeId="0" xr:uid="{58E15ABE-B121-4ECD-BB4B-6CD8E73433E9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Bandwidth normalisation</t>
        </r>
      </text>
    </comment>
    <comment ref="A41" authorId="0" shapeId="0" xr:uid="{7C1C1B37-DC47-41A9-B5DD-6FDDFFD83871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Voxel size correction. As per MagNET guidance, voxel sizes are converted to cm.</t>
        </r>
      </text>
    </comment>
    <comment ref="A44" authorId="0" shapeId="0" xr:uid="{7908CE39-A578-4BD8-9AA6-4A11F034FAF8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Scan-time correction. As per MagNET guidance, TR is converted to seconds</t>
        </r>
      </text>
    </comment>
    <comment ref="A45" authorId="0" shapeId="0" xr:uid="{8D7CFC23-A2C2-4539-BC5E-3AEC9F9EA639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Coil loading normalisation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Wastling,Stephen</author>
  </authors>
  <commentList>
    <comment ref="B13" authorId="0" shapeId="0" xr:uid="{FEADFC86-ED68-4771-B878-53170289D52A}">
      <text>
        <r>
          <rPr>
            <b/>
            <sz val="9"/>
            <color indexed="81"/>
            <rFont val="Tahoma"/>
            <family val="2"/>
          </rPr>
          <t>Wastling,Stephen:</t>
        </r>
        <r>
          <rPr>
            <sz val="9"/>
            <color indexed="81"/>
            <rFont val="Tahoma"/>
            <family val="2"/>
          </rPr>
          <t xml:space="preserve">
This is the formula for calculating the intercept of a straight-line fit via linear least squares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<sst xmlns="http://schemas.openxmlformats.org/spreadsheetml/2006/main" count="564" uniqueCount="182">
  <si>
    <t>ROI</t>
  </si>
  <si>
    <t>Signal Mean</t>
  </si>
  <si>
    <t>Difference Standard Deviation</t>
  </si>
  <si>
    <t>SNR Normalisation Factors</t>
  </si>
  <si>
    <t>Value</t>
  </si>
  <si>
    <t>Phase encode matrix size</t>
  </si>
  <si>
    <t>Frequency encode matrix size</t>
  </si>
  <si>
    <t>Repetition time (ms)</t>
  </si>
  <si>
    <t>Number of signal averages</t>
  </si>
  <si>
    <t>Field-of-view (mm)</t>
  </si>
  <si>
    <t>Input Parameters</t>
  </si>
  <si>
    <t>Fixed Parameters</t>
  </si>
  <si>
    <t>Calculated Parameters</t>
  </si>
  <si>
    <t>Voxel size in the frequency encode direction (mm)</t>
  </si>
  <si>
    <t>Voxel size in the phase encode direction (mm)</t>
  </si>
  <si>
    <t>Slice width (mm)</t>
  </si>
  <si>
    <t>Plane: Transverse</t>
  </si>
  <si>
    <t>Plane: Sagittal</t>
  </si>
  <si>
    <t>Plane: Coronal</t>
  </si>
  <si>
    <t>In-built Body Coil SNR</t>
  </si>
  <si>
    <t>BW_siemens_</t>
  </si>
  <si>
    <t>BW_ge_</t>
  </si>
  <si>
    <t>BW_philips_</t>
  </si>
  <si>
    <t>Transverse</t>
  </si>
  <si>
    <t>Sagittal</t>
  </si>
  <si>
    <t>Coronal</t>
  </si>
  <si>
    <t>Average</t>
  </si>
  <si>
    <t>Static magnetic field strength (T)</t>
  </si>
  <si>
    <t>Scanner manufacturer</t>
  </si>
  <si>
    <t>Siemens</t>
  </si>
  <si>
    <t>±Bandwidth (kHz)</t>
  </si>
  <si>
    <t>Slice Width</t>
  </si>
  <si>
    <t xml:space="preserve">Nominal </t>
  </si>
  <si>
    <t>Minimum</t>
  </si>
  <si>
    <t>Baseline</t>
  </si>
  <si>
    <t>Pixel</t>
  </si>
  <si>
    <t>Half Minimum</t>
  </si>
  <si>
    <t>Fitting Parameters</t>
  </si>
  <si>
    <t>Signal to noise ratio</t>
  </si>
  <si>
    <t>Normalised SNR</t>
  </si>
  <si>
    <t>Q-factor for head or body</t>
  </si>
  <si>
    <t>Q-factor for test object</t>
  </si>
  <si>
    <t>±Nominal bandwidth (kHz)</t>
  </si>
  <si>
    <t>Coil loading normalisation</t>
  </si>
  <si>
    <t>Bandwidth normalisation</t>
  </si>
  <si>
    <t>Voxel size correction (transverse)</t>
  </si>
  <si>
    <t>Voxel size correction (sagittal)</t>
  </si>
  <si>
    <t>Voxel size correction (coronal)</t>
  </si>
  <si>
    <t>Scan time correction</t>
  </si>
  <si>
    <t>Slice width for transverse acquisition (mm)</t>
  </si>
  <si>
    <t>Slice width for sagittal acquisition (mm)</t>
  </si>
  <si>
    <t>Slice width for coronal acquisition (mm)</t>
  </si>
  <si>
    <t>Bandwidth from scanner interface</t>
  </si>
  <si>
    <t>Head Coil SNR</t>
  </si>
  <si>
    <t>In-built Body Coil Uniformity</t>
  </si>
  <si>
    <t>x-direction</t>
  </si>
  <si>
    <t>y-direction</t>
  </si>
  <si>
    <t>z-direction</t>
  </si>
  <si>
    <t>Standard Deviation</t>
  </si>
  <si>
    <t>Horizontal</t>
  </si>
  <si>
    <t>Vertical</t>
  </si>
  <si>
    <t>Profile Data</t>
  </si>
  <si>
    <t xml:space="preserve"> Central ROI Mean</t>
  </si>
  <si>
    <t>Abs Difference</t>
  </si>
  <si>
    <t>Fractional Uniformity</t>
  </si>
  <si>
    <t>Head Coil Uniformity</t>
  </si>
  <si>
    <t>Geometric Linearity and Distortion</t>
  </si>
  <si>
    <t>Imaging Planes</t>
  </si>
  <si>
    <t>Gradient Directions</t>
  </si>
  <si>
    <t>Rod 1 to Rod 3</t>
  </si>
  <si>
    <t>Rod 4 to Rod 6</t>
  </si>
  <si>
    <t>Rod 7 to Rod 9</t>
  </si>
  <si>
    <t>Rod 1 to Rod 7</t>
  </si>
  <si>
    <t>Rod 2 to Rod 8</t>
  </si>
  <si>
    <t>Rod 3 to Rod 9</t>
  </si>
  <si>
    <t>Error (mm)</t>
  </si>
  <si>
    <t>Measured Distance (mm)</t>
  </si>
  <si>
    <t>Distance between rods (mm)</t>
  </si>
  <si>
    <t>Distance (mm)</t>
  </si>
  <si>
    <t>Slice</t>
  </si>
  <si>
    <t>Mean Test Object Distance (mm)</t>
  </si>
  <si>
    <t>Correction Factor</t>
  </si>
  <si>
    <t>Slice Position (measured)</t>
  </si>
  <si>
    <t>Angled rod separation (mm)</t>
  </si>
  <si>
    <t>Slice Position</t>
  </si>
  <si>
    <t>Slice Position (calculated)</t>
  </si>
  <si>
    <t>Values</t>
  </si>
  <si>
    <t>Slice thickness (mm)</t>
  </si>
  <si>
    <t>Slice gap (mm)</t>
  </si>
  <si>
    <t>Slice offset (mm)</t>
  </si>
  <si>
    <t>Sign</t>
  </si>
  <si>
    <t>Maximum (absolute) Error (mm)</t>
  </si>
  <si>
    <t>Mean error + Std Dev Error (mm)</t>
  </si>
  <si>
    <t>Mean error - Std Dev Error (mm)</t>
  </si>
  <si>
    <t>Mean Error (mm)</t>
  </si>
  <si>
    <t>Absolute Error</t>
  </si>
  <si>
    <t>Slice Position Error (mm)</t>
  </si>
  <si>
    <t>Mean</t>
  </si>
  <si>
    <t>Maximum</t>
  </si>
  <si>
    <t>Profile 1</t>
  </si>
  <si>
    <t>Profile 2</t>
  </si>
  <si>
    <t>Max signal</t>
  </si>
  <si>
    <t>Min signal</t>
  </si>
  <si>
    <t>Delta</t>
  </si>
  <si>
    <t>Mean signal</t>
  </si>
  <si>
    <t>Delta/Mean</t>
  </si>
  <si>
    <t>EPI Stability</t>
  </si>
  <si>
    <t>Signal</t>
  </si>
  <si>
    <t>1 to 25</t>
  </si>
  <si>
    <t>26 to 50</t>
  </si>
  <si>
    <t>51 to 75</t>
  </si>
  <si>
    <t>76 to 100</t>
  </si>
  <si>
    <t>Images 1-25</t>
  </si>
  <si>
    <t>Images 26-50</t>
  </si>
  <si>
    <t>Images 51-75</t>
  </si>
  <si>
    <t>Images 76-100</t>
  </si>
  <si>
    <t>Image Set</t>
  </si>
  <si>
    <t>Per Set of 25 images</t>
  </si>
  <si>
    <t>Mean Signal</t>
  </si>
  <si>
    <t>Signal Standard Deviation</t>
  </si>
  <si>
    <t>Stretch factor</t>
  </si>
  <si>
    <t>Angle of plates in test object (deg)</t>
  </si>
  <si>
    <t>Manual offset for minimum of profile 1</t>
  </si>
  <si>
    <t>Manual offset for baseline of profile 1</t>
  </si>
  <si>
    <t>Manual offset for baseline of profile 2</t>
  </si>
  <si>
    <t>Manual offset for minimum of profile 2</t>
  </si>
  <si>
    <t>FWHM profile 1 (pixels)</t>
  </si>
  <si>
    <t>FWHM profile 2 (pixels)</t>
  </si>
  <si>
    <t>FWHM transverse profile 1 (pixels)</t>
  </si>
  <si>
    <t>FWHM transverse profile 2 (pixels)</t>
  </si>
  <si>
    <t>FWHM sagittal profile 1 (pixels)</t>
  </si>
  <si>
    <t>FWHM sagittal profile 2 (pixels)</t>
  </si>
  <si>
    <t>FWHM coronal profile 1 (pixels)</t>
  </si>
  <si>
    <t>FWHM coronal profile 2 (pixels)</t>
  </si>
  <si>
    <t>System Name</t>
  </si>
  <si>
    <t>Plane</t>
  </si>
  <si>
    <t>Axial</t>
  </si>
  <si>
    <t>X</t>
  </si>
  <si>
    <t>Y</t>
  </si>
  <si>
    <t>Z</t>
  </si>
  <si>
    <t>Gradient Direction</t>
  </si>
  <si>
    <t>Table 5: Geometric Linearity for 3 Gradient Directions</t>
  </si>
  <si>
    <t>Table 6: Geometric Distortion (%) for 3 Gradient Directions</t>
  </si>
  <si>
    <t>Table 7: Measured Slice Widths for a Nominal 5 mm Slice</t>
  </si>
  <si>
    <t>Table 8: Slice Position Error Measurements</t>
  </si>
  <si>
    <t>Mean Error + Std Dev Error (mm)</t>
  </si>
  <si>
    <t>Mean Error - Std Dev Error (mm)</t>
  </si>
  <si>
    <t>Table 4: Head Coil Fractional Uniformity</t>
  </si>
  <si>
    <t>Table 1: Body Coil NSNR</t>
  </si>
  <si>
    <t>Table 2: Head Coil NSNR</t>
  </si>
  <si>
    <t>Table 3: Body Coil Fractional Uniformity</t>
  </si>
  <si>
    <t>Table 9: EPI Stability</t>
  </si>
  <si>
    <t>Distortion (%)</t>
  </si>
  <si>
    <t xml:space="preserve">Standard Deviation </t>
  </si>
  <si>
    <t>BC_TRA_SLICE_WIDTH_ROIs</t>
  </si>
  <si>
    <t>BC_TRA_GEOMETRIC_LINEARITY_AND_DISTORTION_LINES</t>
  </si>
  <si>
    <t>BC_SAG_GEOMETRIC_LINEARITY_AND_DISTORTION_LINES</t>
  </si>
  <si>
    <t>BC_COR_GEOMETRIC_LINEARITY_AND_DISTORTION_LINES</t>
  </si>
  <si>
    <t>BC_SAG_SLICE_WIDTH_ROIs</t>
  </si>
  <si>
    <t>BC_COR_SLICE_WIDTH_ROIs</t>
  </si>
  <si>
    <t>HC_TRA_EPI_STABILITY_ROI</t>
  </si>
  <si>
    <t>BC_TRA_SLICE_POSITION_LINES</t>
  </si>
  <si>
    <t>BC_TRA_SNR_Images_with_ROIs</t>
  </si>
  <si>
    <t>BC_SAG_SNR_Images_with_ROIs</t>
  </si>
  <si>
    <t>BC_TRA_UNIFORMITY_ROIs</t>
  </si>
  <si>
    <t>BC_SAG_UNIFORMITY_ROIs</t>
  </si>
  <si>
    <t>BC_COR_UNIFORMITY_ROIs</t>
  </si>
  <si>
    <t>HC_COR_UNIFORMITY_ROIs</t>
  </si>
  <si>
    <t>HC_SAG_UNIFORMITY_ROIs</t>
  </si>
  <si>
    <t>HC_TRA_UNIFORMITY_ROIs</t>
  </si>
  <si>
    <t>BC_COR_SNR_Images_with_ROIs</t>
  </si>
  <si>
    <t>HC_TRA_SNR_Images_with_ROIs</t>
  </si>
  <si>
    <t>HC_SAG_SNR_Images_with_ROIs</t>
  </si>
  <si>
    <t>HC_COR_SNR_Images_with_ROIs</t>
  </si>
  <si>
    <t>Body Coil NSNR</t>
  </si>
  <si>
    <t>Comparison System Name</t>
  </si>
  <si>
    <t>Head Coil NSNR</t>
  </si>
  <si>
    <t>Body Coil Mean Uniformity</t>
  </si>
  <si>
    <t>Head Coil Mean Uniformity</t>
  </si>
  <si>
    <t>Mean Geometric Linearity Error (mm)</t>
  </si>
  <si>
    <t>Mean Geometric Distortion (%)</t>
  </si>
  <si>
    <t>Slice Width Error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</si>
</sst>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&quot;£&quot;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2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Protection="0"/>
  </cellStyleXfs>
  <cellXfs count="64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49" fontId="2" fillId="0" borderId="1" xfId="0" applyNumberFormat="1" applyFont="1" applyBorder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49" fontId="2" fillId="0" borderId="1" xfId="0" applyNumberFormat="1" applyFont="1" applyBorder="1"/>
    <xf numFmtId="2" fontId="0" fillId="0" borderId="0" xfId="0" applyNumberFormat="1"/>
    <xf numFmtId="164" fontId="0" fillId="0" borderId="1" xfId="0" applyNumberFormat="1" applyBorder="1"/>
    <xf numFmtId="0" fontId="9" fillId="0" borderId="0" xfId="0" applyFont="1" applyAlignment="1">
      <alignment horizontal="center"/>
    </xf>
    <xf numFmtId="0" fontId="0" fillId="2" borderId="1" xfId="0" applyFill="1" applyBorder="1"/>
    <xf numFmtId="165" fontId="0" fillId="0" borderId="1" xfId="0" applyNumberFormat="1" applyBorder="1"/>
    <xf numFmtId="17" fontId="11" fillId="0" borderId="1" xfId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10" fontId="0" fillId="0" borderId="1" xfId="0" applyNumberFormat="1" applyBorder="1"/>
    <xf numFmtId="0" fontId="1" fillId="0" borderId="0" xfId="0" applyFont="1"/>
    <xf numFmtId="0" fontId="0" fillId="3" borderId="1" xfId="0" applyFill="1" applyBorder="1"/>
    <xf numFmtId="0" fontId="0" fillId="3" borderId="1" xfId="0" applyFont="1" applyFill="1" applyBorder="1"/>
    <xf numFmtId="0" fontId="0" fillId="0" borderId="0" xfId="0" applyBorder="1"/>
    <xf numFmtId="0" fontId="0" fillId="0" borderId="0" xfId="0" applyFill="1" applyBorder="1"/>
    <xf numFmtId="0" fontId="0" fillId="3" borderId="1" xfId="0" applyFont="1" applyFill="1" applyBorder="1" applyAlignment="1">
      <alignment horizontal="left"/>
    </xf>
    <xf numFmtId="0" fontId="12" fillId="3" borderId="1" xfId="1" applyFont="1" applyFill="1" applyBorder="1" applyAlignment="1">
      <alignment horizontal="center" vertical="center"/>
    </xf>
    <xf numFmtId="0" fontId="0" fillId="0" borderId="1" xfId="0" applyFont="1" applyBorder="1"/>
    <xf numFmtId="17" fontId="13" fillId="3" borderId="1" xfId="1" applyNumberFormat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2" fillId="0" borderId="1" xfId="0" applyFont="1" applyFill="1" applyBorder="1"/>
    <xf numFmtId="2" fontId="0" fillId="0" borderId="1" xfId="0" applyNumberFormat="1" applyFont="1" applyBorder="1"/>
    <xf numFmtId="0" fontId="2" fillId="4" borderId="1" xfId="0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0" fontId="3" fillId="4" borderId="0" xfId="0" applyFont="1" applyFill="1"/>
    <xf numFmtId="10" fontId="0" fillId="0" borderId="1" xfId="0" applyNumberFormat="1" applyFont="1" applyBorder="1"/>
    <xf numFmtId="0" fontId="13" fillId="0" borderId="0" xfId="0" applyFont="1"/>
    <xf numFmtId="2" fontId="3" fillId="0" borderId="1" xfId="0" applyNumberFormat="1" applyFont="1" applyBorder="1"/>
    <xf numFmtId="166" fontId="3" fillId="0" borderId="1" xfId="0" applyNumberFormat="1" applyFont="1" applyBorder="1"/>
    <xf numFmtId="0" fontId="1" fillId="0" borderId="1" xfId="0" applyFont="1" applyBorder="1" applyAlignment="1"/>
    <xf numFmtId="1" fontId="0" fillId="0" borderId="1" xfId="0" applyNumberFormat="1" applyBorder="1"/>
    <xf numFmtId="49" fontId="2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1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2">
    <cellStyle name="Normal" xfId="0" builtinId="0"/>
    <cellStyle name="Normal 2" xfId="1" xr:uid="{41F5F352-48EA-4936-8C94-841E35068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9326334208223"/>
          <c:y val="8.3772839506172841E-2"/>
          <c:w val="0.80450353663419194"/>
          <c:h val="0.72865030864197522"/>
        </c:manualLayout>
      </c:layout>
      <c:scatterChart>
        <c:scatterStyle val="smoothMarker"/>
        <c:varyColors val="0"/>
        <c:ser>
          <c:idx val="0"/>
          <c:order val="0"/>
          <c:tx>
            <c:v>x-direction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'BC Tra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1-4471-9538-4940A408ACC4}"/>
            </c:ext>
          </c:extLst>
        </c:ser>
        <c:ser>
          <c:idx val="1"/>
          <c:order val="1"/>
          <c:tx>
            <c:v>y-direction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'BC Tra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C1-4471-9538-4940A408ACC4}"/>
            </c:ext>
          </c:extLst>
        </c:ser>
        <c:ser>
          <c:idx val="2"/>
          <c:order val="2"/>
          <c:tx>
            <c:v>z-direction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'BC Sag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C1-4471-9538-4940A408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Distance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Along Profile in Pixels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13012144668361"/>
          <c:y val="0.54797222222222219"/>
          <c:w val="0.22932247875795186"/>
          <c:h val="0.2411046296296296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Tra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5C-4306-856F-27BA024A4E36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Tra Uniformity'!$C$6,'BC Tra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5C-4306-856F-27BA024A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Tra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2-4D3E-857B-881532590415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Tra Uniformity'!$H$6,'BC Tra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32-4D3E-857B-88153259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Sag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25-40A7-A910-6F615E060789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Sag Uniformity'!$C$6,'BC Sag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25-40A7-A910-6F615E06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Sag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21-498D-94C4-07E68617A81E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Sag Uniformity'!$H$6,'BC Sag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21-498D-94C4-07E68617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Cor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43-40E4-A3F8-E3D698130F7A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Cor Uniformity'!$C$6,'BC Cor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43-40E4-A3F8-E3D698130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'BC Cor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2A-4D85-A099-212BA185EE2B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('BC Cor Uniformity'!$H$6,'BC Cor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2A-4D85-A099-212BA185E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089281872552814"/>
          <c:y val="0.46565736892660708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9326334208223"/>
          <c:y val="8.3772839506172841E-2"/>
          <c:w val="0.80450353663419194"/>
          <c:h val="0.72865030864197522"/>
        </c:manualLayout>
      </c:layout>
      <c:scatterChart>
        <c:scatterStyle val="smoothMarker"/>
        <c:varyColors val="0"/>
        <c:ser>
          <c:idx val="0"/>
          <c:order val="0"/>
          <c:tx>
            <c:v>x-direction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'HC Tra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9F-44D6-AB01-B9D23EFF7862}"/>
            </c:ext>
          </c:extLst>
        </c:ser>
        <c:ser>
          <c:idx val="1"/>
          <c:order val="1"/>
          <c:tx>
            <c:v>y-direction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'HC Tra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9F-44D6-AB01-B9D23EFF7862}"/>
            </c:ext>
          </c:extLst>
        </c:ser>
        <c:ser>
          <c:idx val="2"/>
          <c:order val="2"/>
          <c:tx>
            <c:v>z-direction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'HC Sag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9F-44D6-AB01-B9D23EFF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Distance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Along Profile in Pixels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30526268962143"/>
          <c:y val="0.54797222222222219"/>
          <c:w val="0.22932247875795186"/>
          <c:h val="0.2411046296296296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Tra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D6-4D84-8402-134A7C4AEE79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Tra Uniformity'!$C$6,'HC Tra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D6-4D84-8402-134A7C4AE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942390675741803"/>
          <c:y val="0.21087345679012345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Tra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E1-4809-859E-1A158173BB2D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Tra Uniformity'!$H$6,'HC Tra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1-4809-859E-1A158173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270074291561013"/>
          <c:y val="0.2069537037037037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Sag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F-4685-93A6-13539AAA918E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Sag Uniformity'!$C$6,'HC Sag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4F-4685-93A6-13539AAA9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0808754837849"/>
          <c:y val="0.19519444444444445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Sag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B-4020-ACE9-B05EB7F01DA2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Sag Uniformity'!$H$6,'HC Sag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6B-4020-ACE9-B05EB7F01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83068641843498"/>
          <c:y val="0.57933024691358026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Cor Uniformity'!$B$6:$B$165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C-4C21-A234-DD0D0946E765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Cor Uniformity'!$C$6,'HC Cor Uniformity'!$C$6)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AC-4C21-A234-DD0D0946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744650562747453"/>
          <c:y val="0.59108950617283962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326334208223"/>
          <c:y val="0.17784703995333917"/>
          <c:w val="0.77060520559930001"/>
          <c:h val="0.68945282881306502"/>
        </c:manualLayout>
      </c:layout>
      <c:scatterChart>
        <c:scatterStyle val="smoothMarker"/>
        <c:varyColors val="0"/>
        <c:ser>
          <c:idx val="0"/>
          <c:order val="0"/>
          <c:tx>
            <c:v>Signal Intensity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'HC Cor Uniformity'!$G$6:$G$165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9C-4086-8730-8956FB3FEC9F}"/>
            </c:ext>
          </c:extLst>
        </c:ser>
        <c:ser>
          <c:idx val="1"/>
          <c:order val="1"/>
          <c:tx>
            <c:v>Central ROI Mean Signal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</c:v>
              </c:pt>
            </c:numLit>
          </c:xVal>
          <c:yVal>
            <c:numRef>
              <c:f>('HC Cor Uniformity'!$H$6,'HC Cor Uniformity'!$H$6)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9C-4086-8730-8956FB3F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85648"/>
        <c:axId val="1200486008"/>
      </c:scatterChart>
      <c:valAx>
        <c:axId val="1200485648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6008"/>
        <c:crosses val="autoZero"/>
        <c:crossBetween val="midCat"/>
        <c:majorUnit val="40"/>
      </c:valAx>
      <c:valAx>
        <c:axId val="12004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529961297210732"/>
          <c:y val="0.20303395061728394"/>
          <c:w val="0.45088873112172456"/>
          <c:h val="0.2466350809230966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'Tra Slice Width'!$B$11</c:f>
              <c:strCache>
                <c:ptCount val="1"/>
                <c:pt idx="0">
                  <c:v>Profile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'Tra Slice Width'!$B$12:$B$131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9-41AB-A6F6-9710130246BD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('Tra Slice Width'!$B$133,'Tra Slice Width'!$B$133)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B9-41AB-A6F6-9710130246BD}"/>
            </c:ext>
          </c:extLst>
        </c:ser>
        <c:ser>
          <c:idx val="2"/>
          <c:order val="2"/>
          <c:tx>
            <c:strRef>
              <c:f>'Tra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('Tra Slice Width'!$B$134,'Tra Slice Width'!$B$134)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B9-41AB-A6F6-9710130246BD}"/>
            </c:ext>
          </c:extLst>
        </c:ser>
        <c:ser>
          <c:idx val="3"/>
          <c:order val="3"/>
          <c:tx>
            <c:strRef>
              <c:f>'Tra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('Tra Slice Width'!$B$135,'Tra Slice Width'!$B$135)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B9-41AB-A6F6-971013024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'Tra Slice Width'!$C$11</c:f>
              <c:strCache>
                <c:ptCount val="1"/>
                <c:pt idx="0">
                  <c:v>Profile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'Tra Slice Width'!$C$12:$C$131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A-41F8-B27D-52942AA135A3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('Tra Slice Width'!$C$133,'Tra Slice Width'!$C$133)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A-41F8-B27D-52942AA135A3}"/>
            </c:ext>
          </c:extLst>
        </c:ser>
        <c:ser>
          <c:idx val="2"/>
          <c:order val="2"/>
          <c:tx>
            <c:strRef>
              <c:f>'Tra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('Tra Slice Width'!$C$134,'Tra Slice Width'!$C$134)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6A-41F8-B27D-52942AA135A3}"/>
            </c:ext>
          </c:extLst>
        </c:ser>
        <c:ser>
          <c:idx val="3"/>
          <c:order val="3"/>
          <c:tx>
            <c:strRef>
              <c:f>'Tra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('Tra Slice Width'!$C$135,'Tra Slice Width'!$C$135)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6A-41F8-B27D-52942AA13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'Sag Slice Width'!$B$11</c:f>
              <c:strCache>
                <c:ptCount val="1"/>
                <c:pt idx="0">
                  <c:v>Profile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'Sag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'Sag Slice Width'!$B$12:$B$131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6-8C4F-AA66-2111A91B4BCB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('Sag Slice Width'!$B$133,'Sag Slice Width'!$B$133)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A6-8C4F-AA66-2111A91B4BCB}"/>
            </c:ext>
          </c:extLst>
        </c:ser>
        <c:ser>
          <c:idx val="2"/>
          <c:order val="2"/>
          <c:tx>
            <c:strRef>
              <c:f>'Sag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('Sag Slice Width'!$B$134,'Sag Slice Width'!$B$134)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A6-8C4F-AA66-2111A91B4BCB}"/>
            </c:ext>
          </c:extLst>
        </c:ser>
        <c:ser>
          <c:idx val="3"/>
          <c:order val="3"/>
          <c:tx>
            <c:strRef>
              <c:f>'Sag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('Sag Slice Width'!$B$135,'Sag Slice Width'!$B$135)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A6-8C4F-AA66-2111A91B4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'Sag Slice Width'!$C$11</c:f>
              <c:strCache>
                <c:ptCount val="1"/>
                <c:pt idx="0">
                  <c:v>Profile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'Sag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'Sag Slice Width'!$C$12:$C$131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83-ED40-8623-24B06BAB14BA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('Sag Slice Width'!$C$133,'Sag Slice Width'!$C$133)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83-ED40-8623-24B06BAB14BA}"/>
            </c:ext>
          </c:extLst>
        </c:ser>
        <c:ser>
          <c:idx val="2"/>
          <c:order val="2"/>
          <c:tx>
            <c:strRef>
              <c:f>'Sag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('Sag Slice Width'!$C$134,'Sag Slice Width'!$C$134)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83-ED40-8623-24B06BAB14BA}"/>
            </c:ext>
          </c:extLst>
        </c:ser>
        <c:ser>
          <c:idx val="3"/>
          <c:order val="3"/>
          <c:tx>
            <c:strRef>
              <c:f>'Sag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('Sag Slice Width'!$C$135,'Sag Slice Width'!$C$135)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83-ED40-8623-24B06BAB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'Cor Slice Width'!$B$11</c:f>
              <c:strCache>
                <c:ptCount val="1"/>
                <c:pt idx="0">
                  <c:v>Profile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'Cor Slice Width'!$B$12:$B$131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9D-AA4E-84B7-92A46BC4FEAE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('Cor Slice Width'!$B$133,'Cor Slice Width'!$B$133)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9D-AA4E-84B7-92A46BC4FEAE}"/>
            </c:ext>
          </c:extLst>
        </c:ser>
        <c:ser>
          <c:idx val="2"/>
          <c:order val="2"/>
          <c:tx>
            <c:strRef>
              <c:f>'Cor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('Cor Slice Width'!$B$134,'Cor Slice Width'!$B$134)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9D-AA4E-84B7-92A46BC4FEAE}"/>
            </c:ext>
          </c:extLst>
        </c:ser>
        <c:ser>
          <c:idx val="3"/>
          <c:order val="3"/>
          <c:tx>
            <c:strRef>
              <c:f>'Cor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('Cor Slice Width'!$B$135,'Cor Slice Width'!$B$135)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9D-AA4E-84B7-92A46BC4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Profile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81153005225"/>
          <c:y val="9.8414583417340232E-2"/>
          <c:w val="0.52992923984264451"/>
          <c:h val="0.78397798054577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'Cor Slice Width'!$C$11</c:f>
              <c:strCache>
                <c:ptCount val="1"/>
                <c:pt idx="0">
                  <c:v>Profile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 Slice Width'!$A$12:$A$131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xVal>
          <c:yVal>
            <c:numRef>
              <c:f>'Cor Slice Width'!$C$12:$C$131</c:f>
              <c:numCache>
                <c:formatCode>General</c:formatCode>
                <c:ptCount val="1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6-C043-99D9-7AE79CF90953}"/>
            </c:ext>
          </c:extLst>
        </c:ser>
        <c:ser>
          <c:idx val="1"/>
          <c:order val="1"/>
          <c:tx>
            <c:v>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('Cor Slice Width'!$C$133,'Cor Slice Width'!$C$133)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26-C043-99D9-7AE79CF90953}"/>
            </c:ext>
          </c:extLst>
        </c:ser>
        <c:ser>
          <c:idx val="2"/>
          <c:order val="2"/>
          <c:tx>
            <c:strRef>
              <c:f>'Cor Slice Width'!$A$134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119</c:v>
              </c:pt>
            </c:numLit>
          </c:xVal>
          <c:yVal>
            <c:numRef>
              <c:f>('Cor Slice Width'!$C$134,'Cor Slice Width'!$C$134)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26-C043-99D9-7AE79CF90953}"/>
            </c:ext>
          </c:extLst>
        </c:ser>
        <c:ser>
          <c:idx val="3"/>
          <c:order val="3"/>
          <c:tx>
            <c:strRef>
              <c:f>'Cor Slice Width'!$A$135</c:f>
              <c:strCache>
                <c:ptCount val="1"/>
                <c:pt idx="0">
                  <c:v>Half Minimum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199</c:v>
              </c:pt>
            </c:numLit>
          </c:xVal>
          <c:yVal>
            <c:numRef>
              <c:f>('Cor Slice Width'!$C$135,'Cor Slice Width'!$C$135)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26-C043-99D9-7AE79CF90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51064"/>
        <c:axId val="991651424"/>
      </c:scatterChart>
      <c:valAx>
        <c:axId val="991651064"/>
        <c:scaling>
          <c:orientation val="minMax"/>
          <c:max val="1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Pixel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424"/>
        <c:crosses val="autoZero"/>
        <c:crossBetween val="midCat"/>
      </c:valAx>
      <c:valAx>
        <c:axId val="99165142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Signal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Intensity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51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2941253483462"/>
          <c:y val="0.37988055649783836"/>
          <c:w val="0.23758455371225862"/>
          <c:h val="0.26777307954000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Slice Position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74924399381073"/>
          <c:y val="0.14393518518518519"/>
          <c:w val="0.853917312390432"/>
          <c:h val="0.73445349165752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'Slice Position'!$A$21:$A$39</c:f>
              <c:numCache>
                <c:formatCode>General</c:formatCode>
                <c:ptCount val="1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numCache>
            </c:numRef>
          </c:xVal>
          <c:yVal>
            <c:numRef>
              <c:f>'Slice Position'!$H$21:$H$39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C-4856-934A-8E1520546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386680"/>
        <c:axId val="940385240"/>
      </c:scatterChart>
      <c:valAx>
        <c:axId val="94038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85240"/>
        <c:crosses val="autoZero"/>
        <c:crossBetween val="midCat"/>
      </c:valAx>
      <c:valAx>
        <c:axId val="94038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Position Error (mm)</a:t>
                </a:r>
              </a:p>
            </c:rich>
          </c:tx>
          <c:layout>
            <c:manualLayout>
              <c:xMode val="edge"/>
              <c:yMode val="edge"/>
              <c:x val="1.4558961085770811E-2"/>
              <c:y val="0.28563425693188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8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>
                <a:solidFill>
                  <a:schemeClr val="tx1"/>
                </a:solidFill>
              </a:rPr>
              <a:t>Signal</a:t>
            </a:r>
            <a:r>
              <a:rPr lang="en-GB" sz="1400" baseline="0">
                <a:solidFill>
                  <a:schemeClr val="tx1"/>
                </a:solidFill>
              </a:rPr>
              <a:t> Variation Over Time</a:t>
            </a:r>
            <a:endParaRPr lang="en-GB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'EPI Stability'!$B$12:$B$111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6-470F-9950-5ACEF9F43D91}"/>
            </c:ext>
          </c:extLst>
        </c:ser>
        <c:ser>
          <c:idx val="1"/>
          <c:order val="1"/>
          <c:tx>
            <c:v>Mean</c:v>
          </c:tx>
          <c:spPr>
            <a:ln w="127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xVal>
          <c:yVal>
            <c:numRef>
              <c:f>('EPI Stability'!$D$4,'EPI Stability'!$D$4)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26-470F-9950-5ACEF9F43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626392"/>
        <c:axId val="1173628912"/>
      </c:scatterChart>
      <c:valAx>
        <c:axId val="1173626392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Image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28912"/>
        <c:crosses val="autoZero"/>
        <c:crossBetween val="midCat"/>
      </c:valAx>
      <c:valAx>
        <c:axId val="11736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Signal</a:t>
                </a:r>
                <a:r>
                  <a:rPr lang="en-GB" sz="1200" baseline="0">
                    <a:solidFill>
                      <a:schemeClr val="tx1"/>
                    </a:solidFill>
                  </a:rPr>
                  <a:t> Intensity</a:t>
                </a:r>
                <a:endParaRPr lang="en-GB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7698233762305032E-2"/>
              <c:y val="0.30930154564012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2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Report'!$B$6</c:f>
              <c:strCache>
                <c:ptCount val="1"/>
                <c:pt idx="0">
                  <c:v>Body Coil NSNR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8-472A-BA7A-489CC6917F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Report'!$A$7:$A$8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Report'!$B$7:$B$8</c:f>
              <c:numCache>
                <c:formatCode>General</c:formatCode>
                <c:ptCount val="2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8-472A-BA7A-489CC6917F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Report'!$B$10</c:f>
              <c:strCache>
                <c:ptCount val="1"/>
                <c:pt idx="0">
                  <c:v>Head Coil NSNR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D-4286-BFD5-1FDCCC30C0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Report'!$A$11:$A$12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Report'!$B$11:$B$12</c:f>
              <c:numCache>
                <c:formatCode>General</c:formatCode>
                <c:ptCount val="2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D-4286-BFD5-1FDCCC30C0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Report'!$B$14</c:f>
              <c:strCache>
                <c:ptCount val="1"/>
                <c:pt idx="0">
                  <c:v>Body Coil Mean Uniformity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21-4414-9090-78030C82D2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Report'!$A$15:$A$16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Report'!$B$15:$B$16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1-4414-9090-78030C82D2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Report'!$B$18</c:f>
              <c:strCache>
                <c:ptCount val="1"/>
                <c:pt idx="0">
                  <c:v>Head Coil Mean Uniformity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8-4479-B0F6-58CFE826E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Report'!$A$19:$A$20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Report'!$B$19:$B$20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8-4479-B0F6-58CFE826E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Report'!$B$22</c:f>
              <c:strCache>
                <c:ptCount val="1"/>
                <c:pt idx="0">
                  <c:v>Mean Geometric Linearity Error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94-4F68-B664-08F43B2D4C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Report'!$A$23:$A$24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Report'!$B$23:$B$24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F68-B664-08F43B2D4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Report'!$B$26</c:f>
              <c:strCache>
                <c:ptCount val="1"/>
                <c:pt idx="0">
                  <c:v>Mean Geometric Distortion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3C-4AE6-BBD7-CA687A8350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Report'!$A$27:$A$28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Report'!$B$27:$B$28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C-4AE6-BBD7-CA687A8350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'Comparison Charts for Report'!$B$30</c:f>
              <c:strCache>
                <c:ptCount val="1"/>
                <c:pt idx="0">
                  <c:v>Slice Width Error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FA-4DF0-9F54-C825326CC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'Comparison Charts for Report'!$A$31:$A$32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'Comparison Charts for Report'!$B$31:$B$32</c:f>
              <c:numCache>
                <c:formatCode>General</c:formatCode>
                <c:ptCount val="2"/>
                <c:pt idx="0" formatCode="0.00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A-4DF0-9F54-C825326CC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7219888"/>
        <c:axId val="577221568"/>
      </c:barChart>
      <c:catAx>
        <c:axId val="57721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1568"/>
        <c:crosses val="autoZero"/>
        <c:auto val="1"/>
        <c:lblAlgn val="ctr"/>
        <c:lblOffset val="100"/>
        <c:noMultiLvlLbl val="0"/>
      </c:catAx>
      <c:valAx>
        <c:axId val="577221568"/>
        <c:scaling>
          <c:orientation val="minMax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198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Mean Signal and Variation Per Set of 25 Images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Mean Signal and Variation Per Set of 25 Images</a:t>
          </a:r>
        </a:p>
      </cx:txPr>
    </cx:title>
    <cx:plotArea>
      <cx:plotAreaRegion>
        <cx:series layoutId="boxWhisker" uniqueId="{94D90C5C-51C7-4A7F-85BF-9BA847A480A5}">
          <cx:tx>
            <cx:txData>
              <cx:f>_xlchart.v1.1</cx:f>
              <cx:v>Signal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Image Set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chemeClr val="tx1"/>
                  </a:solidFill>
                </a:defRPr>
              </a:pPr>
              <a:r>
                <a:rPr lang="en-GB" sz="12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Image Set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tx1"/>
                </a:solidFill>
              </a:defRPr>
            </a:pPr>
            <a:endParaRPr lang="en-GB" sz="12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Signal Intensity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chemeClr val="tx1"/>
                  </a:solidFill>
                </a:defRPr>
              </a:pPr>
              <a:r>
                <a:rPr lang="en-GB" sz="12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Signal Intensity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tx1"/>
                </a:solidFill>
              </a:defRPr>
            </a:pPr>
            <a:endParaRPr lang="en-GB" sz="12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15</xdr:row>
      <xdr:rowOff>19049</xdr:rowOff>
    </xdr:from>
    <xdr:ext cx="4860000" cy="14701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FE1D25-2F46-787C-89AA-2A32B9793E85}"/>
            </a:ext>
          </a:extLst>
        </xdr:cNvPr>
        <xdr:cNvSpPr txBox="1"/>
      </xdr:nvSpPr>
      <xdr:spPr>
        <a:xfrm>
          <a:off x="4152900" y="3019424"/>
          <a:ext cx="4860000" cy="147014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Enter</a:t>
          </a:r>
          <a:r>
            <a:rPr lang="en-GB" sz="1100" baseline="0"/>
            <a:t> the acquisition parameters into cells B17:B26</a:t>
          </a:r>
        </a:p>
        <a:p>
          <a:r>
            <a:rPr lang="en-GB" sz="1100" baseline="0"/>
            <a:t>2. Copy the values from Analysis_Results\SNR\BC_TRA_SNR.csv into cells B9:C13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the values from Analysis_Results\SNR\BC_SAG_SNR.csv into cells F9:G13</a:t>
          </a:r>
          <a:endParaRPr lang="en-GB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Copy the values from Analysis_Results\SNR\BC_COR_SNR.csv into cells J9:K13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Copy Analysis_Results\SNR\BC_TRA_SNR_Image_with_ROIs.png over cell I19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Copy Analysis_Results\SNR\BC_SAG_SNR_Image_with_ROIs.png over cell I33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Copy Analysis_Results\SNR\BC_COR_SNR_Image_with_ROIs.png over cell I48</a:t>
          </a:r>
          <a:endParaRPr lang="en-GB">
            <a:effectLst/>
          </a:endParaRPr>
        </a:p>
      </xdr:txBody>
    </xdr:sp>
    <xdr:clientData/>
  </xdr:oneCellAnchor>
  <xdr:oneCellAnchor>
    <xdr:from>
      <xdr:col>2</xdr:col>
      <xdr:colOff>200025</xdr:colOff>
      <xdr:row>38</xdr:row>
      <xdr:rowOff>9525</xdr:rowOff>
    </xdr:from>
    <xdr:ext cx="5076825" cy="16605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684D2CE-98DB-4B4C-A535-8F3B43EEC0E2}"/>
                </a:ext>
              </a:extLst>
            </xdr:cNvPr>
            <xdr:cNvSpPr txBox="1"/>
          </xdr:nvSpPr>
          <xdr:spPr>
            <a:xfrm>
              <a:off x="4010025" y="7391400"/>
              <a:ext cx="5076825" cy="166058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1100" b="0" i="0">
                  <a:latin typeface="+mn-lt"/>
                </a:rPr>
                <a:t>The normailsed SNR (NSNR) is given by:</a:t>
              </a:r>
            </a:p>
            <a:p>
              <a:endParaRPr lang="en-GB" sz="1100" b="0" i="0">
                <a:latin typeface="+mn-lt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𝑁𝑆𝑁𝑅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𝐵𝑊</m:t>
                            </m:r>
                          </m:num>
                          <m:den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𝑛𝑜𝑚</m:t>
                                </m:r>
                              </m:sub>
                            </m:sSub>
                          </m:den>
                        </m:f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.</m:t>
                        </m:r>
                      </m:e>
                    </m:rad>
                    <m:f>
                      <m:fPr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den>
                    </m:f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f>
                      <m:fPr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𝑝𝑒</m:t>
                                </m:r>
                              </m:sub>
                            </m:sSub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𝑇𝑅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𝑁𝑆𝐴</m:t>
                            </m:r>
                          </m:e>
                        </m:rad>
                      </m:den>
                    </m:f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rad>
                      <m:radPr>
                        <m:degHide m:val="on"/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h𝑒𝑎𝑑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𝑡𝑒𝑠𝑡</m:t>
                                </m:r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𝑜𝑏𝑗</m:t>
                                </m:r>
                              </m:sub>
                            </m:sSub>
                          </m:den>
                        </m:f>
                      </m:e>
                    </m:rad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GB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𝑆𝑁𝑅</m:t>
                    </m:r>
                  </m:oMath>
                </m:oMathPara>
              </a14:m>
              <a:endParaRPr lang="en-GB" sz="1400"/>
            </a:p>
            <a:p>
              <a:endParaRPr lang="en-GB" sz="1400"/>
            </a:p>
            <a:p>
              <a:r>
                <a:rPr lang="en-GB" sz="1100"/>
                <a:t>with 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 panose="02040503050406030204" pitchFamily="18" charset="0"/>
                    </a:rPr>
                    <m:t>𝑇𝑅</m:t>
                  </m:r>
                </m:oMath>
              </a14:m>
              <a:r>
                <a:rPr lang="en-GB" sz="1100"/>
                <a:t> measured in seconds,</a:t>
              </a:r>
              <a:r>
                <a:rPr lang="en-GB" sz="1100" baseline="0"/>
                <a:t> and the voxel sizes (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𝑥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,</m:t>
                  </m:r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𝑦</m:t>
                  </m:r>
                </m:oMath>
              </a14:m>
              <a:r>
                <a:rPr lang="en-GB" sz="1100" baseline="0"/>
                <a:t> and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𝑧</m:t>
                  </m:r>
                </m:oMath>
              </a14:m>
              <a:r>
                <a:rPr lang="en-GB" sz="1100" baseline="0"/>
                <a:t>) in cm. </a:t>
              </a:r>
            </a:p>
            <a:p>
              <a:r>
                <a:rPr lang="en-GB" sz="1100" baseline="0"/>
                <a:t>The nominal bandwith is </a:t>
              </a:r>
              <a14:m>
                <m:oMath xmlns:m="http://schemas.openxmlformats.org/officeDocument/2006/math">
                  <m:r>
                    <a:rPr lang="en-GB" sz="110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  <m:r>
                    <a:rPr lang="en-GB" sz="11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30 </m:t>
                  </m:r>
                  <m:r>
                    <a:rPr lang="en-GB" sz="11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𝑘𝐻𝑧</m:t>
                  </m:r>
                </m:oMath>
              </a14:m>
              <a:r>
                <a:rPr lang="en-GB" sz="1100"/>
                <a:t> and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h𝑒𝑎𝑑</m:t>
                      </m:r>
                    </m:sub>
                  </m:sSub>
                </m:oMath>
              </a14:m>
              <a:r>
                <a:rPr lang="en-GB" sz="1100"/>
                <a:t> and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𝑡𝑒𝑠𝑡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𝑜𝑏𝑗</m:t>
                      </m:r>
                    </m:sub>
                  </m:sSub>
                </m:oMath>
              </a14:m>
              <a:r>
                <a:rPr lang="en-GB" sz="1100"/>
                <a:t> are set to 1.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684D2CE-98DB-4B4C-A535-8F3B43EEC0E2}"/>
                </a:ext>
              </a:extLst>
            </xdr:cNvPr>
            <xdr:cNvSpPr txBox="1"/>
          </xdr:nvSpPr>
          <xdr:spPr>
            <a:xfrm>
              <a:off x="4010025" y="7391400"/>
              <a:ext cx="5076825" cy="166058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1100" b="0" i="0">
                  <a:latin typeface="+mn-lt"/>
                </a:rPr>
                <a:t>The normailsed SNR (NSNR) is given by:</a:t>
              </a:r>
            </a:p>
            <a:p>
              <a:endParaRPr lang="en-GB" sz="1100" b="0" i="0">
                <a:latin typeface="+mn-lt"/>
              </a:endParaRPr>
            </a:p>
            <a:p>
              <a:r>
                <a:rPr lang="en-GB" sz="1400" b="0" i="0">
                  <a:latin typeface="Cambria Math" panose="02040503050406030204" pitchFamily="18" charset="0"/>
                </a:rPr>
                <a:t>𝑁𝑆𝑁𝑅=√(𝐵𝑊/(𝐵𝑊_𝑛𝑜𝑚 ).)  1/Δ𝑥Δ𝑦Δ𝑧.1/√(𝑁_𝑝𝑒.𝑇𝑅.𝑁𝑆𝐴).√(𝑄_ℎ𝑒𝑎𝑑/𝑄_(𝑡𝑒𝑠𝑡−𝑜𝑏𝑗) ).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𝑆𝑁𝑅</a:t>
              </a:r>
              <a:endParaRPr lang="en-GB" sz="1400"/>
            </a:p>
            <a:p>
              <a:endParaRPr lang="en-GB" sz="1400"/>
            </a:p>
            <a:p>
              <a:r>
                <a:rPr lang="en-GB" sz="1100"/>
                <a:t>with </a:t>
              </a:r>
              <a:r>
                <a:rPr lang="en-GB" sz="1100" i="0">
                  <a:latin typeface="Cambria Math" panose="02040503050406030204" pitchFamily="18" charset="0"/>
                </a:rPr>
                <a:t>𝑇𝑅</a:t>
              </a:r>
              <a:r>
                <a:rPr lang="en-GB" sz="1100"/>
                <a:t> measured in seconds,</a:t>
              </a:r>
              <a:r>
                <a:rPr lang="en-GB" sz="1100" baseline="0"/>
                <a:t> and the voxel sizes (</a:t>
              </a:r>
              <a:r>
                <a:rPr lang="en-GB" sz="1100" b="0" i="0" baseline="0">
                  <a:latin typeface="Cambria Math" panose="02040503050406030204" pitchFamily="18" charset="0"/>
                </a:rPr>
                <a:t>Δ𝑥,Δ𝑦</a:t>
              </a:r>
              <a:r>
                <a:rPr lang="en-GB" sz="1100" baseline="0"/>
                <a:t> and </a:t>
              </a:r>
              <a:r>
                <a:rPr lang="en-GB" sz="1100" b="0" i="0" baseline="0">
                  <a:latin typeface="Cambria Math" panose="02040503050406030204" pitchFamily="18" charset="0"/>
                </a:rPr>
                <a:t>Δ𝑧</a:t>
              </a:r>
              <a:r>
                <a:rPr lang="en-GB" sz="1100" baseline="0"/>
                <a:t>) in cm. </a:t>
              </a:r>
            </a:p>
            <a:p>
              <a:r>
                <a:rPr lang="en-GB" sz="1100" baseline="0"/>
                <a:t>The nominal bandwith is </a:t>
              </a:r>
              <a:r>
                <a:rPr lang="en-GB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r>
                <a:rPr lang="en-GB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30 𝑘𝐻𝑧</a:t>
              </a:r>
              <a:r>
                <a:rPr lang="en-GB" sz="1100"/>
                <a:t> and </a:t>
              </a:r>
              <a:r>
                <a:rPr lang="en-GB" sz="1100" b="0" i="0">
                  <a:latin typeface="Cambria Math" panose="02040503050406030204" pitchFamily="18" charset="0"/>
                </a:rPr>
                <a:t>𝑄_ℎ𝑒𝑎𝑑</a:t>
              </a:r>
              <a:r>
                <a:rPr lang="en-GB" sz="1100"/>
                <a:t> and </a:t>
              </a:r>
              <a:r>
                <a:rPr lang="en-GB" sz="1100" b="0" i="0">
                  <a:latin typeface="Cambria Math" panose="02040503050406030204" pitchFamily="18" charset="0"/>
                </a:rPr>
                <a:t>𝑄_(𝑡𝑒𝑠𝑡−𝑜𝑏𝑗)</a:t>
              </a:r>
              <a:r>
                <a:rPr lang="en-GB" sz="1100"/>
                <a:t> are set to 1.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38</xdr:row>
      <xdr:rowOff>0</xdr:rowOff>
    </xdr:from>
    <xdr:ext cx="5076825" cy="16605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31E80C-E81B-4420-82B6-C3402EC8BF65}"/>
                </a:ext>
              </a:extLst>
            </xdr:cNvPr>
            <xdr:cNvSpPr txBox="1"/>
          </xdr:nvSpPr>
          <xdr:spPr>
            <a:xfrm>
              <a:off x="4038600" y="7381875"/>
              <a:ext cx="5076825" cy="166058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1100" b="0" i="0">
                  <a:latin typeface="+mn-lt"/>
                </a:rPr>
                <a:t>The normailsed SNR (NSNR) is given by:</a:t>
              </a:r>
            </a:p>
            <a:p>
              <a:endParaRPr lang="en-GB" sz="1100" b="0" i="0">
                <a:latin typeface="+mn-lt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𝑁𝑆𝑁𝑅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𝐵𝑊</m:t>
                            </m:r>
                          </m:num>
                          <m:den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𝑛𝑜𝑚</m:t>
                                </m:r>
                              </m:sub>
                            </m:sSub>
                          </m:den>
                        </m:f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.</m:t>
                        </m:r>
                      </m:e>
                    </m:rad>
                    <m:f>
                      <m:fPr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m:rPr>
                            <m:sty m:val="p"/>
                          </m:rPr>
                          <a:rPr lang="en-GB" sz="14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den>
                    </m:f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f>
                      <m:fPr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𝑝𝑒</m:t>
                                </m:r>
                              </m:sub>
                            </m:sSub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𝑇𝑅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𝑁𝑆𝐴</m:t>
                            </m:r>
                          </m:e>
                        </m:rad>
                      </m:den>
                    </m:f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rad>
                      <m:radPr>
                        <m:degHide m:val="on"/>
                        <m:ctrlPr>
                          <a:rPr lang="en-GB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h𝑒𝑎𝑑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𝑡𝑒𝑠𝑡</m:t>
                                </m:r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𝑜𝑏𝑗</m:t>
                                </m:r>
                              </m:sub>
                            </m:sSub>
                          </m:den>
                        </m:f>
                      </m:e>
                    </m:rad>
                    <m:r>
                      <a:rPr lang="en-GB" sz="14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GB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𝑆𝑁𝑅</m:t>
                    </m:r>
                  </m:oMath>
                </m:oMathPara>
              </a14:m>
              <a:endParaRPr lang="en-GB" sz="1400"/>
            </a:p>
            <a:p>
              <a:endParaRPr lang="en-GB" sz="1400"/>
            </a:p>
            <a:p>
              <a:r>
                <a:rPr lang="en-GB" sz="1100"/>
                <a:t>with 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 panose="02040503050406030204" pitchFamily="18" charset="0"/>
                    </a:rPr>
                    <m:t>𝑇𝑅</m:t>
                  </m:r>
                </m:oMath>
              </a14:m>
              <a:r>
                <a:rPr lang="en-GB" sz="1100"/>
                <a:t> measured in seconds,</a:t>
              </a:r>
              <a:r>
                <a:rPr lang="en-GB" sz="1100" baseline="0"/>
                <a:t> and the voxel sizes (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𝑥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,</m:t>
                  </m:r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𝑦</m:t>
                  </m:r>
                </m:oMath>
              </a14:m>
              <a:r>
                <a:rPr lang="en-GB" sz="1100" baseline="0"/>
                <a:t> and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 b="0" i="0" baseline="0">
                      <a:latin typeface="Cambria Math" panose="02040503050406030204" pitchFamily="18" charset="0"/>
                    </a:rPr>
                    <m:t>Δ</m:t>
                  </m:r>
                  <m:r>
                    <a:rPr lang="en-GB" sz="1100" b="0" i="1" baseline="0">
                      <a:latin typeface="Cambria Math" panose="02040503050406030204" pitchFamily="18" charset="0"/>
                    </a:rPr>
                    <m:t>𝑧</m:t>
                  </m:r>
                </m:oMath>
              </a14:m>
              <a:r>
                <a:rPr lang="en-GB" sz="1100" baseline="0"/>
                <a:t>) in cm. </a:t>
              </a:r>
            </a:p>
            <a:p>
              <a:r>
                <a:rPr lang="en-GB" sz="1100" baseline="0"/>
                <a:t>The nominal bandwith is </a:t>
              </a:r>
              <a14:m>
                <m:oMath xmlns:m="http://schemas.openxmlformats.org/officeDocument/2006/math">
                  <m:r>
                    <a:rPr lang="en-GB" sz="110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  <m:r>
                    <a:rPr lang="en-GB" sz="11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30 </m:t>
                  </m:r>
                  <m:r>
                    <a:rPr lang="en-GB" sz="11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𝑘𝐻𝑧</m:t>
                  </m:r>
                </m:oMath>
              </a14:m>
              <a:r>
                <a:rPr lang="en-GB" sz="1100"/>
                <a:t> and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h𝑒𝑎𝑑</m:t>
                      </m:r>
                    </m:sub>
                  </m:sSub>
                </m:oMath>
              </a14:m>
              <a:r>
                <a:rPr lang="en-GB" sz="1100"/>
                <a:t> and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𝑡𝑒𝑠𝑡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𝑜𝑏𝑗</m:t>
                      </m:r>
                    </m:sub>
                  </m:sSub>
                </m:oMath>
              </a14:m>
              <a:r>
                <a:rPr lang="en-GB" sz="1100"/>
                <a:t> are set to 1.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31E80C-E81B-4420-82B6-C3402EC8BF65}"/>
                </a:ext>
              </a:extLst>
            </xdr:cNvPr>
            <xdr:cNvSpPr txBox="1"/>
          </xdr:nvSpPr>
          <xdr:spPr>
            <a:xfrm>
              <a:off x="4038600" y="7381875"/>
              <a:ext cx="5076825" cy="166058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1100" b="0" i="0">
                  <a:latin typeface="+mn-lt"/>
                </a:rPr>
                <a:t>The normailsed SNR (NSNR) is given by:</a:t>
              </a:r>
            </a:p>
            <a:p>
              <a:endParaRPr lang="en-GB" sz="1100" b="0" i="0">
                <a:latin typeface="+mn-lt"/>
              </a:endParaRPr>
            </a:p>
            <a:p>
              <a:r>
                <a:rPr lang="en-GB" sz="1400" b="0" i="0">
                  <a:latin typeface="Cambria Math" panose="02040503050406030204" pitchFamily="18" charset="0"/>
                </a:rPr>
                <a:t>𝑁𝑆𝑁𝑅=√(𝐵𝑊/(𝐵𝑊_𝑛𝑜𝑚 ).)  1/Δ𝑥Δ𝑦Δ𝑧.1/√(𝑁_𝑝𝑒.𝑇𝑅.𝑁𝑆𝐴).√(𝑄_ℎ𝑒𝑎𝑑/𝑄_(𝑡𝑒𝑠𝑡−𝑜𝑏𝑗) ).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𝑆𝑁𝑅</a:t>
              </a:r>
              <a:endParaRPr lang="en-GB" sz="1400"/>
            </a:p>
            <a:p>
              <a:endParaRPr lang="en-GB" sz="1400"/>
            </a:p>
            <a:p>
              <a:r>
                <a:rPr lang="en-GB" sz="1100"/>
                <a:t>with </a:t>
              </a:r>
              <a:r>
                <a:rPr lang="en-GB" sz="1100" i="0">
                  <a:latin typeface="Cambria Math" panose="02040503050406030204" pitchFamily="18" charset="0"/>
                </a:rPr>
                <a:t>𝑇𝑅</a:t>
              </a:r>
              <a:r>
                <a:rPr lang="en-GB" sz="1100"/>
                <a:t> measured in seconds,</a:t>
              </a:r>
              <a:r>
                <a:rPr lang="en-GB" sz="1100" baseline="0"/>
                <a:t> and the voxel sizes (</a:t>
              </a:r>
              <a:r>
                <a:rPr lang="en-GB" sz="1100" b="0" i="0" baseline="0">
                  <a:latin typeface="Cambria Math" panose="02040503050406030204" pitchFamily="18" charset="0"/>
                </a:rPr>
                <a:t>Δ𝑥,Δ𝑦</a:t>
              </a:r>
              <a:r>
                <a:rPr lang="en-GB" sz="1100" baseline="0"/>
                <a:t> and </a:t>
              </a:r>
              <a:r>
                <a:rPr lang="en-GB" sz="1100" b="0" i="0" baseline="0">
                  <a:latin typeface="Cambria Math" panose="02040503050406030204" pitchFamily="18" charset="0"/>
                </a:rPr>
                <a:t>Δ𝑧</a:t>
              </a:r>
              <a:r>
                <a:rPr lang="en-GB" sz="1100" baseline="0"/>
                <a:t>) in cm. </a:t>
              </a:r>
            </a:p>
            <a:p>
              <a:r>
                <a:rPr lang="en-GB" sz="1100" baseline="0"/>
                <a:t>The nominal bandwith is </a:t>
              </a:r>
              <a:r>
                <a:rPr lang="en-GB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r>
                <a:rPr lang="en-GB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30 𝑘𝐻𝑧</a:t>
              </a:r>
              <a:r>
                <a:rPr lang="en-GB" sz="1100"/>
                <a:t> and </a:t>
              </a:r>
              <a:r>
                <a:rPr lang="en-GB" sz="1100" b="0" i="0">
                  <a:latin typeface="Cambria Math" panose="02040503050406030204" pitchFamily="18" charset="0"/>
                </a:rPr>
                <a:t>𝑄_ℎ𝑒𝑎𝑑</a:t>
              </a:r>
              <a:r>
                <a:rPr lang="en-GB" sz="1100"/>
                <a:t> and </a:t>
              </a:r>
              <a:r>
                <a:rPr lang="en-GB" sz="1100" b="0" i="0">
                  <a:latin typeface="Cambria Math" panose="02040503050406030204" pitchFamily="18" charset="0"/>
                </a:rPr>
                <a:t>𝑄_(𝑡𝑒𝑠𝑡−𝑜𝑏𝑗)</a:t>
              </a:r>
              <a:r>
                <a:rPr lang="en-GB" sz="1100"/>
                <a:t> are set to 1.</a:t>
              </a:r>
            </a:p>
          </xdr:txBody>
        </xdr:sp>
      </mc:Fallback>
    </mc:AlternateContent>
    <xdr:clientData/>
  </xdr:oneCellAnchor>
  <xdr:oneCellAnchor>
    <xdr:from>
      <xdr:col>2</xdr:col>
      <xdr:colOff>342900</xdr:colOff>
      <xdr:row>15</xdr:row>
      <xdr:rowOff>19049</xdr:rowOff>
    </xdr:from>
    <xdr:ext cx="4860000" cy="1468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9D718D-588B-41F9-B42F-D94D0ED6162B}"/>
            </a:ext>
          </a:extLst>
        </xdr:cNvPr>
        <xdr:cNvSpPr txBox="1"/>
      </xdr:nvSpPr>
      <xdr:spPr>
        <a:xfrm>
          <a:off x="4152900" y="3019424"/>
          <a:ext cx="4860000" cy="14688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Enter</a:t>
          </a:r>
          <a:r>
            <a:rPr lang="en-GB" sz="1100" baseline="0"/>
            <a:t> the acquisition parameters into cells B17:B26</a:t>
          </a:r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</a:t>
          </a:r>
          <a:r>
            <a:rPr lang="en-GB" sz="1100" baseline="0"/>
            <a:t>SNR\HC_TRA_SNR.csv into cells B9:C13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the values from Analysis_Results\SNR\HC_SAG_SNR.csv into cells F9:G13</a:t>
          </a:r>
          <a:endParaRPr lang="en-GB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Copy the values from Analysis_Results\SNR\HC_COR_SNR.csv into cells J9:K13</a:t>
          </a: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Copy Analysis_Results\SNR\HC_TRA_SNR_Image_with_ROIs.png over cell I19</a:t>
          </a:r>
          <a:endParaRPr lang="en-GB">
            <a:effectLst/>
          </a:endParaRP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Copy Analysis_Results\SNR\HC_SAG_SNR_Image_with_ROIs.png over cell I33</a:t>
          </a:r>
          <a:endParaRPr lang="en-GB">
            <a:effectLst/>
          </a:endParaRP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Copy Analysis_Results\SNR\HC_COR_SNR_Image_with_ROIs.png over cell I48</a:t>
          </a:r>
          <a:endParaRPr lang="en-GB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447675</xdr:colOff>
      <xdr:row>2</xdr:row>
      <xdr:rowOff>133350</xdr:rowOff>
    </xdr:from>
    <xdr:ext cx="26000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D8843FA-5E7E-8E98-3E7A-2C8DD6DA4EC4}"/>
            </a:ext>
          </a:extLst>
        </xdr:cNvPr>
        <xdr:cNvSpPr txBox="1"/>
      </xdr:nvSpPr>
      <xdr:spPr>
        <a:xfrm>
          <a:off x="8039100" y="657225"/>
          <a:ext cx="260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A</a:t>
          </a:r>
        </a:p>
      </xdr:txBody>
    </xdr:sp>
    <xdr:clientData/>
  </xdr:oneCellAnchor>
  <xdr:oneCellAnchor>
    <xdr:from>
      <xdr:col>11</xdr:col>
      <xdr:colOff>438150</xdr:colOff>
      <xdr:row>12</xdr:row>
      <xdr:rowOff>142875</xdr:rowOff>
    </xdr:from>
    <xdr:ext cx="25923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626CDDF-3319-45F2-B324-BAF79590407A}"/>
            </a:ext>
          </a:extLst>
        </xdr:cNvPr>
        <xdr:cNvSpPr txBox="1"/>
      </xdr:nvSpPr>
      <xdr:spPr>
        <a:xfrm>
          <a:off x="8029575" y="2571750"/>
          <a:ext cx="2592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P</a:t>
          </a:r>
        </a:p>
      </xdr:txBody>
    </xdr:sp>
    <xdr:clientData/>
  </xdr:oneCellAnchor>
  <xdr:oneCellAnchor>
    <xdr:from>
      <xdr:col>10</xdr:col>
      <xdr:colOff>76200</xdr:colOff>
      <xdr:row>7</xdr:row>
      <xdr:rowOff>161925</xdr:rowOff>
    </xdr:from>
    <xdr:ext cx="262957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81F5802-362B-4EA4-85F6-03F403D04130}"/>
            </a:ext>
          </a:extLst>
        </xdr:cNvPr>
        <xdr:cNvSpPr txBox="1"/>
      </xdr:nvSpPr>
      <xdr:spPr>
        <a:xfrm>
          <a:off x="7058025" y="1638300"/>
          <a:ext cx="2629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R</a:t>
          </a:r>
        </a:p>
      </xdr:txBody>
    </xdr:sp>
    <xdr:clientData/>
  </xdr:oneCellAnchor>
  <xdr:oneCellAnchor>
    <xdr:from>
      <xdr:col>13</xdr:col>
      <xdr:colOff>180975</xdr:colOff>
      <xdr:row>7</xdr:row>
      <xdr:rowOff>133350</xdr:rowOff>
    </xdr:from>
    <xdr:ext cx="249043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0A70A7D-A366-4789-8C30-C6768B9B1C53}"/>
            </a:ext>
          </a:extLst>
        </xdr:cNvPr>
        <xdr:cNvSpPr txBox="1"/>
      </xdr:nvSpPr>
      <xdr:spPr>
        <a:xfrm>
          <a:off x="8991600" y="1609725"/>
          <a:ext cx="249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L</a:t>
          </a:r>
        </a:p>
      </xdr:txBody>
    </xdr:sp>
    <xdr:clientData/>
  </xdr:oneCellAnchor>
  <xdr:oneCellAnchor>
    <xdr:from>
      <xdr:col>15</xdr:col>
      <xdr:colOff>600075</xdr:colOff>
      <xdr:row>2</xdr:row>
      <xdr:rowOff>123825</xdr:rowOff>
    </xdr:from>
    <xdr:ext cx="27578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647AED5-ACC8-4E4F-A000-95675BD62E30}"/>
            </a:ext>
          </a:extLst>
        </xdr:cNvPr>
        <xdr:cNvSpPr txBox="1"/>
      </xdr:nvSpPr>
      <xdr:spPr>
        <a:xfrm>
          <a:off x="10629900" y="647700"/>
          <a:ext cx="275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H</a:t>
          </a:r>
        </a:p>
      </xdr:txBody>
    </xdr:sp>
    <xdr:clientData/>
  </xdr:oneCellAnchor>
  <xdr:oneCellAnchor>
    <xdr:from>
      <xdr:col>15</xdr:col>
      <xdr:colOff>590550</xdr:colOff>
      <xdr:row>12</xdr:row>
      <xdr:rowOff>133350</xdr:rowOff>
    </xdr:from>
    <xdr:ext cx="252377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7530FC-9CDF-43F8-9151-32829A4F8DBD}"/>
            </a:ext>
          </a:extLst>
        </xdr:cNvPr>
        <xdr:cNvSpPr txBox="1"/>
      </xdr:nvSpPr>
      <xdr:spPr>
        <a:xfrm>
          <a:off x="10620375" y="2562225"/>
          <a:ext cx="2523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F</a:t>
          </a:r>
        </a:p>
      </xdr:txBody>
    </xdr:sp>
    <xdr:clientData/>
  </xdr:oneCellAnchor>
  <xdr:oneCellAnchor>
    <xdr:from>
      <xdr:col>14</xdr:col>
      <xdr:colOff>228600</xdr:colOff>
      <xdr:row>7</xdr:row>
      <xdr:rowOff>152400</xdr:rowOff>
    </xdr:from>
    <xdr:ext cx="26000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7BBD02E-09EC-4301-85BB-FA79D6612F95}"/>
            </a:ext>
          </a:extLst>
        </xdr:cNvPr>
        <xdr:cNvSpPr txBox="1"/>
      </xdr:nvSpPr>
      <xdr:spPr>
        <a:xfrm>
          <a:off x="9648825" y="1628775"/>
          <a:ext cx="260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A</a:t>
          </a:r>
        </a:p>
      </xdr:txBody>
    </xdr:sp>
    <xdr:clientData/>
  </xdr:oneCellAnchor>
  <xdr:oneCellAnchor>
    <xdr:from>
      <xdr:col>17</xdr:col>
      <xdr:colOff>333375</xdr:colOff>
      <xdr:row>7</xdr:row>
      <xdr:rowOff>123825</xdr:rowOff>
    </xdr:from>
    <xdr:ext cx="25923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E406C3B-544C-44BA-BBE9-F9B58CE8772B}"/>
            </a:ext>
          </a:extLst>
        </xdr:cNvPr>
        <xdr:cNvSpPr txBox="1"/>
      </xdr:nvSpPr>
      <xdr:spPr>
        <a:xfrm>
          <a:off x="11582400" y="1600200"/>
          <a:ext cx="2592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P</a:t>
          </a:r>
        </a:p>
      </xdr:txBody>
    </xdr:sp>
    <xdr:clientData/>
  </xdr:oneCellAnchor>
  <xdr:oneCellAnchor>
    <xdr:from>
      <xdr:col>20</xdr:col>
      <xdr:colOff>114300</xdr:colOff>
      <xdr:row>2</xdr:row>
      <xdr:rowOff>133350</xdr:rowOff>
    </xdr:from>
    <xdr:ext cx="27578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117A2A9-8F97-4B40-90D4-6F98F1150FFC}"/>
            </a:ext>
          </a:extLst>
        </xdr:cNvPr>
        <xdr:cNvSpPr txBox="1"/>
      </xdr:nvSpPr>
      <xdr:spPr>
        <a:xfrm>
          <a:off x="13192125" y="657225"/>
          <a:ext cx="275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H</a:t>
          </a:r>
        </a:p>
      </xdr:txBody>
    </xdr:sp>
    <xdr:clientData/>
  </xdr:oneCellAnchor>
  <xdr:oneCellAnchor>
    <xdr:from>
      <xdr:col>20</xdr:col>
      <xdr:colOff>104775</xdr:colOff>
      <xdr:row>12</xdr:row>
      <xdr:rowOff>142875</xdr:rowOff>
    </xdr:from>
    <xdr:ext cx="252377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CAA3C27-26FA-4FA9-8BD6-377150E17FC2}"/>
            </a:ext>
          </a:extLst>
        </xdr:cNvPr>
        <xdr:cNvSpPr txBox="1"/>
      </xdr:nvSpPr>
      <xdr:spPr>
        <a:xfrm>
          <a:off x="13182600" y="2571750"/>
          <a:ext cx="2523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F</a:t>
          </a:r>
        </a:p>
      </xdr:txBody>
    </xdr:sp>
    <xdr:clientData/>
  </xdr:oneCellAnchor>
  <xdr:oneCellAnchor>
    <xdr:from>
      <xdr:col>18</xdr:col>
      <xdr:colOff>352425</xdr:colOff>
      <xdr:row>7</xdr:row>
      <xdr:rowOff>161925</xdr:rowOff>
    </xdr:from>
    <xdr:ext cx="262957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C98C56-7655-4D2F-A0E7-31BC0B28EDA8}"/>
            </a:ext>
          </a:extLst>
        </xdr:cNvPr>
        <xdr:cNvSpPr txBox="1"/>
      </xdr:nvSpPr>
      <xdr:spPr>
        <a:xfrm>
          <a:off x="12211050" y="1638300"/>
          <a:ext cx="2629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R</a:t>
          </a:r>
        </a:p>
      </xdr:txBody>
    </xdr:sp>
    <xdr:clientData/>
  </xdr:oneCellAnchor>
  <xdr:oneCellAnchor>
    <xdr:from>
      <xdr:col>21</xdr:col>
      <xdr:colOff>457200</xdr:colOff>
      <xdr:row>7</xdr:row>
      <xdr:rowOff>133350</xdr:rowOff>
    </xdr:from>
    <xdr:ext cx="24904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E26AAAF-D9C4-4559-B6C4-531F6BF961D7}"/>
            </a:ext>
          </a:extLst>
        </xdr:cNvPr>
        <xdr:cNvSpPr txBox="1"/>
      </xdr:nvSpPr>
      <xdr:spPr>
        <a:xfrm>
          <a:off x="14144625" y="1609725"/>
          <a:ext cx="249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L</a:t>
          </a:r>
        </a:p>
      </xdr:txBody>
    </xdr:sp>
    <xdr:clientData/>
  </xdr:oneCellAnchor>
  <xdr:oneCellAnchor>
    <xdr:from>
      <xdr:col>10</xdr:col>
      <xdr:colOff>95250</xdr:colOff>
      <xdr:row>2</xdr:row>
      <xdr:rowOff>123825</xdr:rowOff>
    </xdr:from>
    <xdr:ext cx="39978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70FCF48-18AD-4C5F-BABB-98CA66CF825B}"/>
            </a:ext>
          </a:extLst>
        </xdr:cNvPr>
        <xdr:cNvSpPr txBox="1"/>
      </xdr:nvSpPr>
      <xdr:spPr>
        <a:xfrm>
          <a:off x="7077075" y="647700"/>
          <a:ext cx="399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TRA</a:t>
          </a:r>
        </a:p>
      </xdr:txBody>
    </xdr:sp>
    <xdr:clientData/>
  </xdr:oneCellAnchor>
  <xdr:oneCellAnchor>
    <xdr:from>
      <xdr:col>14</xdr:col>
      <xdr:colOff>257175</xdr:colOff>
      <xdr:row>2</xdr:row>
      <xdr:rowOff>171450</xdr:rowOff>
    </xdr:from>
    <xdr:ext cx="424347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CFEE07D-03AD-4744-94D6-9AA4732405F1}"/>
            </a:ext>
          </a:extLst>
        </xdr:cNvPr>
        <xdr:cNvSpPr txBox="1"/>
      </xdr:nvSpPr>
      <xdr:spPr>
        <a:xfrm>
          <a:off x="9677400" y="695325"/>
          <a:ext cx="4243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SAG</a:t>
          </a:r>
        </a:p>
      </xdr:txBody>
    </xdr:sp>
    <xdr:clientData/>
  </xdr:oneCellAnchor>
  <xdr:oneCellAnchor>
    <xdr:from>
      <xdr:col>18</xdr:col>
      <xdr:colOff>428625</xdr:colOff>
      <xdr:row>2</xdr:row>
      <xdr:rowOff>142875</xdr:rowOff>
    </xdr:from>
    <xdr:ext cx="44634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A362E64-DA1E-4B12-AAC9-2A61660ED850}"/>
            </a:ext>
          </a:extLst>
        </xdr:cNvPr>
        <xdr:cNvSpPr txBox="1"/>
      </xdr:nvSpPr>
      <xdr:spPr>
        <a:xfrm>
          <a:off x="12287250" y="666750"/>
          <a:ext cx="4463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COR</a:t>
          </a:r>
        </a:p>
      </xdr:txBody>
    </xdr:sp>
    <xdr:clientData/>
  </xdr:oneCellAnchor>
  <xdr:oneCellAnchor>
    <xdr:from>
      <xdr:col>10</xdr:col>
      <xdr:colOff>552450</xdr:colOff>
      <xdr:row>12</xdr:row>
      <xdr:rowOff>85725</xdr:rowOff>
    </xdr:from>
    <xdr:ext cx="25596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31B2459-6FEC-402A-85C6-B7417BC44330}"/>
            </a:ext>
          </a:extLst>
        </xdr:cNvPr>
        <xdr:cNvSpPr txBox="1"/>
      </xdr:nvSpPr>
      <xdr:spPr>
        <a:xfrm>
          <a:off x="7534275" y="2514600"/>
          <a:ext cx="2559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X</a:t>
          </a:r>
        </a:p>
      </xdr:txBody>
    </xdr:sp>
    <xdr:clientData/>
  </xdr:oneCellAnchor>
  <xdr:oneCellAnchor>
    <xdr:from>
      <xdr:col>10</xdr:col>
      <xdr:colOff>209550</xdr:colOff>
      <xdr:row>11</xdr:row>
      <xdr:rowOff>19050</xdr:rowOff>
    </xdr:from>
    <xdr:ext cx="25417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C249E83-2DA2-4AD5-87E3-BD32817865AA}"/>
            </a:ext>
          </a:extLst>
        </xdr:cNvPr>
        <xdr:cNvSpPr txBox="1"/>
      </xdr:nvSpPr>
      <xdr:spPr>
        <a:xfrm>
          <a:off x="7191375" y="2257425"/>
          <a:ext cx="25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Y</a:t>
          </a:r>
        </a:p>
      </xdr:txBody>
    </xdr:sp>
    <xdr:clientData/>
  </xdr:oneCellAnchor>
  <xdr:twoCellAnchor>
    <xdr:from>
      <xdr:col>10</xdr:col>
      <xdr:colOff>247650</xdr:colOff>
      <xdr:row>11</xdr:row>
      <xdr:rowOff>133350</xdr:rowOff>
    </xdr:from>
    <xdr:to>
      <xdr:col>10</xdr:col>
      <xdr:colOff>247650</xdr:colOff>
      <xdr:row>13</xdr:row>
      <xdr:rowOff>171450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CAFFC7B4-BB2F-9FB0-78A0-F935A21C648A}"/>
            </a:ext>
          </a:extLst>
        </xdr:cNvPr>
        <xdr:cNvCxnSpPr/>
      </xdr:nvCxnSpPr>
      <xdr:spPr>
        <a:xfrm flipH="1" flipV="1">
          <a:off x="7229475" y="2371725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13</xdr:row>
      <xdr:rowOff>114300</xdr:rowOff>
    </xdr:from>
    <xdr:to>
      <xdr:col>11</xdr:col>
      <xdr:colOff>0</xdr:colOff>
      <xdr:row>13</xdr:row>
      <xdr:rowOff>114300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95F72F7-29F7-4E79-8745-B217EEA9E4BA}"/>
            </a:ext>
          </a:extLst>
        </xdr:cNvPr>
        <xdr:cNvCxnSpPr/>
      </xdr:nvCxnSpPr>
      <xdr:spPr>
        <a:xfrm rot="5400000" flipH="1" flipV="1">
          <a:off x="7381875" y="2524125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85725</xdr:colOff>
      <xdr:row>12</xdr:row>
      <xdr:rowOff>133350</xdr:rowOff>
    </xdr:from>
    <xdr:ext cx="25417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9E91BA4-9B29-4821-8BC4-691AA8206425}"/>
            </a:ext>
          </a:extLst>
        </xdr:cNvPr>
        <xdr:cNvSpPr txBox="1"/>
      </xdr:nvSpPr>
      <xdr:spPr>
        <a:xfrm>
          <a:off x="10115550" y="2562225"/>
          <a:ext cx="25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Y</a:t>
          </a:r>
        </a:p>
      </xdr:txBody>
    </xdr:sp>
    <xdr:clientData/>
  </xdr:oneCellAnchor>
  <xdr:oneCellAnchor>
    <xdr:from>
      <xdr:col>14</xdr:col>
      <xdr:colOff>190500</xdr:colOff>
      <xdr:row>10</xdr:row>
      <xdr:rowOff>57150</xdr:rowOff>
    </xdr:from>
    <xdr:ext cx="250966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3E483A3-3D30-4B97-BD8B-C528B360E000}"/>
            </a:ext>
          </a:extLst>
        </xdr:cNvPr>
        <xdr:cNvSpPr txBox="1"/>
      </xdr:nvSpPr>
      <xdr:spPr>
        <a:xfrm>
          <a:off x="9610725" y="2105025"/>
          <a:ext cx="2509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Z</a:t>
          </a:r>
        </a:p>
      </xdr:txBody>
    </xdr:sp>
    <xdr:clientData/>
  </xdr:oneCellAnchor>
  <xdr:twoCellAnchor>
    <xdr:from>
      <xdr:col>14</xdr:col>
      <xdr:colOff>381000</xdr:colOff>
      <xdr:row>11</xdr:row>
      <xdr:rowOff>104775</xdr:rowOff>
    </xdr:from>
    <xdr:to>
      <xdr:col>14</xdr:col>
      <xdr:colOff>381000</xdr:colOff>
      <xdr:row>13</xdr:row>
      <xdr:rowOff>142875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F99E733-EB95-4DDC-AA0A-04EA9B57B865}"/>
            </a:ext>
          </a:extLst>
        </xdr:cNvPr>
        <xdr:cNvCxnSpPr/>
      </xdr:nvCxnSpPr>
      <xdr:spPr>
        <a:xfrm flipH="1" flipV="1">
          <a:off x="9801225" y="23431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13</xdr:row>
      <xdr:rowOff>85725</xdr:rowOff>
    </xdr:from>
    <xdr:to>
      <xdr:col>15</xdr:col>
      <xdr:colOff>133350</xdr:colOff>
      <xdr:row>13</xdr:row>
      <xdr:rowOff>85725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6104020-0738-40C8-8D67-CE4D5B8A7194}"/>
            </a:ext>
          </a:extLst>
        </xdr:cNvPr>
        <xdr:cNvCxnSpPr/>
      </xdr:nvCxnSpPr>
      <xdr:spPr>
        <a:xfrm rot="5400000" flipH="1" flipV="1">
          <a:off x="9953625" y="24955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161925</xdr:colOff>
      <xdr:row>12</xdr:row>
      <xdr:rowOff>47625</xdr:rowOff>
    </xdr:from>
    <xdr:ext cx="25596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A3AA12-74ED-48DE-BD99-4A0847F5F38D}"/>
            </a:ext>
          </a:extLst>
        </xdr:cNvPr>
        <xdr:cNvSpPr txBox="1"/>
      </xdr:nvSpPr>
      <xdr:spPr>
        <a:xfrm>
          <a:off x="12630150" y="2476500"/>
          <a:ext cx="2559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X</a:t>
          </a:r>
        </a:p>
      </xdr:txBody>
    </xdr:sp>
    <xdr:clientData/>
  </xdr:oneCellAnchor>
  <xdr:oneCellAnchor>
    <xdr:from>
      <xdr:col>18</xdr:col>
      <xdr:colOff>428625</xdr:colOff>
      <xdr:row>10</xdr:row>
      <xdr:rowOff>171450</xdr:rowOff>
    </xdr:from>
    <xdr:ext cx="250966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600ACC4-259E-43CD-A6BE-0EE311EEA842}"/>
            </a:ext>
          </a:extLst>
        </xdr:cNvPr>
        <xdr:cNvSpPr txBox="1"/>
      </xdr:nvSpPr>
      <xdr:spPr>
        <a:xfrm>
          <a:off x="12287250" y="2219325"/>
          <a:ext cx="2509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Z</a:t>
          </a:r>
        </a:p>
      </xdr:txBody>
    </xdr:sp>
    <xdr:clientData/>
  </xdr:oneCellAnchor>
  <xdr:twoCellAnchor>
    <xdr:from>
      <xdr:col>18</xdr:col>
      <xdr:colOff>466725</xdr:colOff>
      <xdr:row>11</xdr:row>
      <xdr:rowOff>66675</xdr:rowOff>
    </xdr:from>
    <xdr:to>
      <xdr:col>18</xdr:col>
      <xdr:colOff>466725</xdr:colOff>
      <xdr:row>13</xdr:row>
      <xdr:rowOff>104775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B7F36C9-F072-4E50-A4DD-F669D56E6F39}"/>
            </a:ext>
          </a:extLst>
        </xdr:cNvPr>
        <xdr:cNvCxnSpPr/>
      </xdr:nvCxnSpPr>
      <xdr:spPr>
        <a:xfrm flipH="1" flipV="1">
          <a:off x="12325350" y="23050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409575</xdr:colOff>
      <xdr:row>13</xdr:row>
      <xdr:rowOff>47625</xdr:rowOff>
    </xdr:from>
    <xdr:to>
      <xdr:col>19</xdr:col>
      <xdr:colOff>219075</xdr:colOff>
      <xdr:row>13</xdr:row>
      <xdr:rowOff>47625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5B229CFE-CCAF-471C-B4EA-A0E14BC4B502}"/>
            </a:ext>
          </a:extLst>
        </xdr:cNvPr>
        <xdr:cNvCxnSpPr/>
      </xdr:nvCxnSpPr>
      <xdr:spPr>
        <a:xfrm rot="5400000" flipH="1" flipV="1">
          <a:off x="12477750" y="24574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</xdr:colOff>
      <xdr:row>9</xdr:row>
      <xdr:rowOff>76200</xdr:rowOff>
    </xdr:from>
    <xdr:ext cx="4848225" cy="78124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88DDD3D-5AB9-4C2F-9ADD-4E32E4E77700}"/>
            </a:ext>
          </a:extLst>
        </xdr:cNvPr>
        <xdr:cNvSpPr txBox="1"/>
      </xdr:nvSpPr>
      <xdr:spPr>
        <a:xfrm>
          <a:off x="85725" y="1933575"/>
          <a:ext cx="4848225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Follow the instructions included in sheets "BC Tra Uniformity", "BC Sag Uniformity" and "BC Cor Uniformity"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Copy the Uniformity Profile chart into the report</a:t>
          </a:r>
          <a:endParaRPr lang="en-GB" sz="1100" baseline="0"/>
        </a:p>
      </xdr:txBody>
    </xdr:sp>
    <xdr:clientData/>
  </xdr:oneCellAnchor>
  <xdr:oneCellAnchor>
    <xdr:from>
      <xdr:col>0</xdr:col>
      <xdr:colOff>95250</xdr:colOff>
      <xdr:row>15</xdr:row>
      <xdr:rowOff>152401</xdr:rowOff>
    </xdr:from>
    <xdr:ext cx="5200650" cy="176212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1A4B9D-CF8E-4574-8177-E1B6ED125722}"/>
            </a:ext>
          </a:extLst>
        </xdr:cNvPr>
        <xdr:cNvSpPr txBox="1"/>
      </xdr:nvSpPr>
      <xdr:spPr>
        <a:xfrm>
          <a:off x="95250" y="3152776"/>
          <a:ext cx="5200650" cy="176212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>
              <a:latin typeface="+mn-lt"/>
            </a:rPr>
            <a:t>The x-direction is</a:t>
          </a:r>
          <a:r>
            <a:rPr lang="en-GB" sz="1100" b="0" i="0" baseline="0">
              <a:latin typeface="+mn-lt"/>
            </a:rPr>
            <a:t> left-right, the y-direction is up-down and the z-direction is along the bore:</a:t>
          </a: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/>
        </a:p>
      </xdr:txBody>
    </xdr:sp>
    <xdr:clientData/>
  </xdr:oneCellAnchor>
  <xdr:twoCellAnchor>
    <xdr:from>
      <xdr:col>1</xdr:col>
      <xdr:colOff>133349</xdr:colOff>
      <xdr:row>18</xdr:row>
      <xdr:rowOff>19050</xdr:rowOff>
    </xdr:from>
    <xdr:to>
      <xdr:col>5</xdr:col>
      <xdr:colOff>281593</xdr:colOff>
      <xdr:row>23</xdr:row>
      <xdr:rowOff>180975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C52E6A60-BEEE-69F2-6FA3-581065DD4671}"/>
            </a:ext>
          </a:extLst>
        </xdr:cNvPr>
        <xdr:cNvGrpSpPr/>
      </xdr:nvGrpSpPr>
      <xdr:grpSpPr>
        <a:xfrm>
          <a:off x="857249" y="3590925"/>
          <a:ext cx="3358169" cy="1114425"/>
          <a:chOff x="1066799" y="3390900"/>
          <a:chExt cx="3358169" cy="1114425"/>
        </a:xfrm>
      </xdr:grpSpPr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5FFB2941-58A9-BC89-B6EC-354751876B93}"/>
              </a:ext>
            </a:extLst>
          </xdr:cNvPr>
          <xdr:cNvGrpSpPr/>
        </xdr:nvGrpSpPr>
        <xdr:grpSpPr>
          <a:xfrm>
            <a:off x="3505200" y="3724275"/>
            <a:ext cx="919768" cy="727880"/>
            <a:chOff x="3362325" y="4924425"/>
            <a:chExt cx="919768" cy="72788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AB24B5D5-83FA-8C99-EECD-36A2F99FFEC7}"/>
                </a:ext>
              </a:extLst>
            </xdr:cNvPr>
            <xdr:cNvSpPr txBox="1"/>
          </xdr:nvSpPr>
          <xdr:spPr>
            <a:xfrm>
              <a:off x="3667125" y="4924425"/>
              <a:ext cx="253211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200" b="1"/>
                <a:t>y</a:t>
              </a:r>
            </a:p>
          </xdr:txBody>
        </xdr:sp>
        <xdr:grpSp>
          <xdr:nvGrpSpPr>
            <xdr:cNvPr id="73" name="Group 72">
              <a:extLst>
                <a:ext uri="{FF2B5EF4-FFF2-40B4-BE49-F238E27FC236}">
                  <a16:creationId xmlns:a16="http://schemas.microsoft.com/office/drawing/2014/main" id="{2EA4CE07-65A8-9789-0756-3C79FEE18081}"/>
                </a:ext>
              </a:extLst>
            </xdr:cNvPr>
            <xdr:cNvGrpSpPr/>
          </xdr:nvGrpSpPr>
          <xdr:grpSpPr>
            <a:xfrm>
              <a:off x="3362325" y="5181600"/>
              <a:ext cx="919768" cy="470705"/>
              <a:chOff x="3362325" y="5181600"/>
              <a:chExt cx="919768" cy="470705"/>
            </a:xfrm>
          </xdr:grpSpPr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3BBC1FFD-5304-442C-8C6C-D86BD8AB978E}"/>
                  </a:ext>
                </a:extLst>
              </xdr:cNvPr>
              <xdr:cNvSpPr txBox="1"/>
            </xdr:nvSpPr>
            <xdr:spPr>
              <a:xfrm>
                <a:off x="3362325" y="5372100"/>
                <a:ext cx="248914" cy="280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GB" sz="1200" b="1"/>
                  <a:t>z</a:t>
                </a:r>
              </a:p>
            </xdr:txBody>
          </xdr:sp>
          <xdr:grpSp>
            <xdr:nvGrpSpPr>
              <xdr:cNvPr id="72" name="Group 71">
                <a:extLst>
                  <a:ext uri="{FF2B5EF4-FFF2-40B4-BE49-F238E27FC236}">
                    <a16:creationId xmlns:a16="http://schemas.microsoft.com/office/drawing/2014/main" id="{5C14FABE-85E6-24B5-3241-362CAC078284}"/>
                  </a:ext>
                </a:extLst>
              </xdr:cNvPr>
              <xdr:cNvGrpSpPr/>
            </xdr:nvGrpSpPr>
            <xdr:grpSpPr>
              <a:xfrm>
                <a:off x="3409950" y="5181600"/>
                <a:ext cx="872143" cy="466725"/>
                <a:chOff x="3800475" y="3971925"/>
                <a:chExt cx="872143" cy="466725"/>
              </a:xfrm>
            </xdr:grpSpPr>
            <xdr:grpSp>
              <xdr:nvGrpSpPr>
                <xdr:cNvPr id="66" name="Group 65">
                  <a:extLst>
                    <a:ext uri="{FF2B5EF4-FFF2-40B4-BE49-F238E27FC236}">
                      <a16:creationId xmlns:a16="http://schemas.microsoft.com/office/drawing/2014/main" id="{E119EEEF-96BE-1503-B974-7C29FBDF2F3E}"/>
                    </a:ext>
                  </a:extLst>
                </xdr:cNvPr>
                <xdr:cNvGrpSpPr/>
              </xdr:nvGrpSpPr>
              <xdr:grpSpPr>
                <a:xfrm>
                  <a:off x="3800475" y="3971925"/>
                  <a:ext cx="666750" cy="466725"/>
                  <a:chOff x="3629025" y="3695700"/>
                  <a:chExt cx="666750" cy="466725"/>
                </a:xfrm>
              </xdr:grpSpPr>
              <xdr:cxnSp macro="">
                <xdr:nvCxnSpPr>
                  <xdr:cNvPr id="59" name="Straight Arrow Connector 58">
                    <a:extLst>
                      <a:ext uri="{FF2B5EF4-FFF2-40B4-BE49-F238E27FC236}">
                        <a16:creationId xmlns:a16="http://schemas.microsoft.com/office/drawing/2014/main" id="{1062D442-DECD-FF4D-21FA-3D29F806FFFC}"/>
                      </a:ext>
                    </a:extLst>
                  </xdr:cNvPr>
                  <xdr:cNvCxnSpPr/>
                </xdr:nvCxnSpPr>
                <xdr:spPr>
                  <a:xfrm flipV="1">
                    <a:off x="4048125" y="3838575"/>
                    <a:ext cx="247650" cy="3143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0" name="Straight Arrow Connector 59">
                    <a:extLst>
                      <a:ext uri="{FF2B5EF4-FFF2-40B4-BE49-F238E27FC236}">
                        <a16:creationId xmlns:a16="http://schemas.microsoft.com/office/drawing/2014/main" id="{C666EE7E-9474-48B9-8D0E-33A224B3CB63}"/>
                      </a:ext>
                    </a:extLst>
                  </xdr:cNvPr>
                  <xdr:cNvCxnSpPr/>
                </xdr:nvCxnSpPr>
                <xdr:spPr>
                  <a:xfrm flipV="1">
                    <a:off x="4038600" y="3695700"/>
                    <a:ext cx="0" cy="4667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2" name="Straight Arrow Connector 61">
                    <a:extLst>
                      <a:ext uri="{FF2B5EF4-FFF2-40B4-BE49-F238E27FC236}">
                        <a16:creationId xmlns:a16="http://schemas.microsoft.com/office/drawing/2014/main" id="{30D3968F-FBBB-4719-98C1-EA2F9631A06F}"/>
                      </a:ext>
                    </a:extLst>
                  </xdr:cNvPr>
                  <xdr:cNvCxnSpPr/>
                </xdr:nvCxnSpPr>
                <xdr:spPr>
                  <a:xfrm flipH="1">
                    <a:off x="3629025" y="4152900"/>
                    <a:ext cx="419100" cy="95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69" name="TextBox 68">
                  <a:extLst>
                    <a:ext uri="{FF2B5EF4-FFF2-40B4-BE49-F238E27FC236}">
                      <a16:creationId xmlns:a16="http://schemas.microsoft.com/office/drawing/2014/main" id="{404413A3-0B67-4A86-83FB-74E04ECDF9C3}"/>
                    </a:ext>
                  </a:extLst>
                </xdr:cNvPr>
                <xdr:cNvSpPr txBox="1"/>
              </xdr:nvSpPr>
              <xdr:spPr>
                <a:xfrm>
                  <a:off x="4419600" y="3971925"/>
                  <a:ext cx="253018" cy="28020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en-GB" sz="1200" b="1"/>
                    <a:t>x</a:t>
                  </a:r>
                </a:p>
              </xdr:txBody>
            </xdr:sp>
          </xdr:grpSp>
        </xdr:grpSp>
      </xdr:grp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45078255-367F-A862-9090-F161EE9B2B01}"/>
              </a:ext>
            </a:extLst>
          </xdr:cNvPr>
          <xdr:cNvGrpSpPr/>
        </xdr:nvGrpSpPr>
        <xdr:grpSpPr>
          <a:xfrm>
            <a:off x="1066799" y="3390900"/>
            <a:ext cx="2124076" cy="1114425"/>
            <a:chOff x="1066799" y="3390900"/>
            <a:chExt cx="2124076" cy="1114425"/>
          </a:xfrm>
        </xdr:grpSpPr>
        <xdr:sp macro="" textlink="">
          <xdr:nvSpPr>
            <xdr:cNvPr id="56" name="Cylinder 55">
              <a:extLst>
                <a:ext uri="{FF2B5EF4-FFF2-40B4-BE49-F238E27FC236}">
                  <a16:creationId xmlns:a16="http://schemas.microsoft.com/office/drawing/2014/main" id="{507E6E13-D212-1EB7-E5CD-B1B872E4AE13}"/>
                </a:ext>
              </a:extLst>
            </xdr:cNvPr>
            <xdr:cNvSpPr/>
          </xdr:nvSpPr>
          <xdr:spPr>
            <a:xfrm rot="5400000">
              <a:off x="1181099" y="3276600"/>
              <a:ext cx="1114425" cy="1343025"/>
            </a:xfrm>
            <a:prstGeom prst="can">
              <a:avLst>
                <a:gd name="adj" fmla="val 29273"/>
              </a:avLst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0" name="Oval 69">
              <a:extLst>
                <a:ext uri="{FF2B5EF4-FFF2-40B4-BE49-F238E27FC236}">
                  <a16:creationId xmlns:a16="http://schemas.microsoft.com/office/drawing/2014/main" id="{33DD4925-6A84-C68A-0BAF-0667AC553242}"/>
                </a:ext>
              </a:extLst>
            </xdr:cNvPr>
            <xdr:cNvSpPr/>
          </xdr:nvSpPr>
          <xdr:spPr>
            <a:xfrm>
              <a:off x="2181226" y="3638551"/>
              <a:ext cx="171450" cy="666749"/>
            </a:xfrm>
            <a:prstGeom prst="ellipse">
              <a:avLst/>
            </a:prstGeom>
            <a:solidFill>
              <a:schemeClr val="bg1">
                <a:lumMod val="6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5" name="Cube 54">
              <a:extLst>
                <a:ext uri="{FF2B5EF4-FFF2-40B4-BE49-F238E27FC236}">
                  <a16:creationId xmlns:a16="http://schemas.microsoft.com/office/drawing/2014/main" id="{64B7F3B9-1E79-E738-D64D-01C941696216}"/>
                </a:ext>
              </a:extLst>
            </xdr:cNvPr>
            <xdr:cNvSpPr/>
          </xdr:nvSpPr>
          <xdr:spPr>
            <a:xfrm>
              <a:off x="2209800" y="4029074"/>
              <a:ext cx="981075" cy="476251"/>
            </a:xfrm>
            <a:prstGeom prst="cub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twoCellAnchor>
    <xdr:from>
      <xdr:col>8</xdr:col>
      <xdr:colOff>28575</xdr:colOff>
      <xdr:row>8</xdr:row>
      <xdr:rowOff>28575</xdr:rowOff>
    </xdr:from>
    <xdr:to>
      <xdr:col>15</xdr:col>
      <xdr:colOff>390525</xdr:colOff>
      <xdr:row>25</xdr:row>
      <xdr:rowOff>30075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A3D0D-CFF5-4D7D-9A38-3535DD5A2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11</xdr:row>
      <xdr:rowOff>90486</xdr:rowOff>
    </xdr:from>
    <xdr:to>
      <xdr:col>16</xdr:col>
      <xdr:colOff>581025</xdr:colOff>
      <xdr:row>28</xdr:row>
      <xdr:rowOff>91986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67E0B-6893-F1AB-8184-01FA4BBD6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28</xdr:row>
      <xdr:rowOff>161925</xdr:rowOff>
    </xdr:from>
    <xdr:to>
      <xdr:col>17</xdr:col>
      <xdr:colOff>0</xdr:colOff>
      <xdr:row>45</xdr:row>
      <xdr:rowOff>163425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8F494C-45CE-4C4D-A0A3-5581BCD57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304799</xdr:colOff>
      <xdr:row>3</xdr:row>
      <xdr:rowOff>123825</xdr:rowOff>
    </xdr:from>
    <xdr:ext cx="6480000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5C46A4-913E-4106-A949-ED0B819519A4}"/>
            </a:ext>
          </a:extLst>
        </xdr:cNvPr>
        <xdr:cNvSpPr txBox="1"/>
      </xdr:nvSpPr>
      <xdr:spPr>
        <a:xfrm>
          <a:off x="9153524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Analysis_Results\Uniformity\BC_TRA_UNIFORMITY_HORIZONTAL.csv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BC_TRA_UNIFORMITY_VERTICAL.csv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Analysis_Results\Uniformity\BC_TRA_UNIFORMITY_ROIs.png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119061</xdr:rowOff>
    </xdr:from>
    <xdr:to>
      <xdr:col>17</xdr:col>
      <xdr:colOff>57150</xdr:colOff>
      <xdr:row>25</xdr:row>
      <xdr:rowOff>120561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78ED7-01E2-4D15-B711-6D3F0F2DE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25</xdr:row>
      <xdr:rowOff>171450</xdr:rowOff>
    </xdr:from>
    <xdr:to>
      <xdr:col>17</xdr:col>
      <xdr:colOff>57150</xdr:colOff>
      <xdr:row>42</xdr:row>
      <xdr:rowOff>172950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EA928-1611-4F30-A85D-E9CDDE60A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304798</xdr:colOff>
      <xdr:row>3</xdr:row>
      <xdr:rowOff>123825</xdr:rowOff>
    </xdr:from>
    <xdr:ext cx="6480000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E1EDC3-DB00-4BAF-AB3B-79E29DCF5EDD}"/>
            </a:ext>
          </a:extLst>
        </xdr:cNvPr>
        <xdr:cNvSpPr txBox="1"/>
      </xdr:nvSpPr>
      <xdr:spPr>
        <a:xfrm>
          <a:off x="9153523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Analysis_Results\Uniformity\BC_SAG_UNIFORMITY_HORIZONTAL.csv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BC_SAG_UNIFORMITY_VERTICAL.csv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Analysis_Results\Uniformity\BC_SAG_UNIFORMITY_ROIs.png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119061</xdr:rowOff>
    </xdr:from>
    <xdr:to>
      <xdr:col>17</xdr:col>
      <xdr:colOff>57150</xdr:colOff>
      <xdr:row>25</xdr:row>
      <xdr:rowOff>120561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2F7EB-C86B-4E95-BEAB-94A27E982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25</xdr:row>
      <xdr:rowOff>171450</xdr:rowOff>
    </xdr:from>
    <xdr:to>
      <xdr:col>17</xdr:col>
      <xdr:colOff>57150</xdr:colOff>
      <xdr:row>42</xdr:row>
      <xdr:rowOff>172950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39B79-0DE6-45BD-A8A1-36CEA2709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304798</xdr:colOff>
      <xdr:row>3</xdr:row>
      <xdr:rowOff>123825</xdr:rowOff>
    </xdr:from>
    <xdr:ext cx="6480000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2887E9-FBF4-41A0-81CE-EE0509D0F759}"/>
            </a:ext>
          </a:extLst>
        </xdr:cNvPr>
        <xdr:cNvSpPr txBox="1"/>
      </xdr:nvSpPr>
      <xdr:spPr>
        <a:xfrm>
          <a:off x="9153523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Analysis_Results\Uniformity\BC_COR_UNIFORMITY_HORIZONTAL.csv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BC_COR_UNIFORMITY_VERTICAL.csv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Analysis_Results\Uniformity\BC_COR_UNIFORMITY_ROIs.png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447675</xdr:colOff>
      <xdr:row>2</xdr:row>
      <xdr:rowOff>133350</xdr:rowOff>
    </xdr:from>
    <xdr:ext cx="26000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6EDB428-8448-4E8B-85D4-1788E098C214}"/>
            </a:ext>
          </a:extLst>
        </xdr:cNvPr>
        <xdr:cNvSpPr txBox="1"/>
      </xdr:nvSpPr>
      <xdr:spPr>
        <a:xfrm>
          <a:off x="8039100" y="657225"/>
          <a:ext cx="260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A</a:t>
          </a:r>
        </a:p>
      </xdr:txBody>
    </xdr:sp>
    <xdr:clientData/>
  </xdr:oneCellAnchor>
  <xdr:oneCellAnchor>
    <xdr:from>
      <xdr:col>11</xdr:col>
      <xdr:colOff>438150</xdr:colOff>
      <xdr:row>12</xdr:row>
      <xdr:rowOff>142875</xdr:rowOff>
    </xdr:from>
    <xdr:ext cx="25923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83D1A35-6645-4A5D-9C76-57C3D749C435}"/>
            </a:ext>
          </a:extLst>
        </xdr:cNvPr>
        <xdr:cNvSpPr txBox="1"/>
      </xdr:nvSpPr>
      <xdr:spPr>
        <a:xfrm>
          <a:off x="8029575" y="2571750"/>
          <a:ext cx="2592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P</a:t>
          </a:r>
        </a:p>
      </xdr:txBody>
    </xdr:sp>
    <xdr:clientData/>
  </xdr:oneCellAnchor>
  <xdr:oneCellAnchor>
    <xdr:from>
      <xdr:col>10</xdr:col>
      <xdr:colOff>76200</xdr:colOff>
      <xdr:row>7</xdr:row>
      <xdr:rowOff>161925</xdr:rowOff>
    </xdr:from>
    <xdr:ext cx="262957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9AAEA4-8CF9-4B0D-936C-80C252CE8D1D}"/>
            </a:ext>
          </a:extLst>
        </xdr:cNvPr>
        <xdr:cNvSpPr txBox="1"/>
      </xdr:nvSpPr>
      <xdr:spPr>
        <a:xfrm>
          <a:off x="7058025" y="1638300"/>
          <a:ext cx="2629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R</a:t>
          </a:r>
        </a:p>
      </xdr:txBody>
    </xdr:sp>
    <xdr:clientData/>
  </xdr:oneCellAnchor>
  <xdr:oneCellAnchor>
    <xdr:from>
      <xdr:col>13</xdr:col>
      <xdr:colOff>180975</xdr:colOff>
      <xdr:row>7</xdr:row>
      <xdr:rowOff>133350</xdr:rowOff>
    </xdr:from>
    <xdr:ext cx="249043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A941277-73AC-42A3-9419-40E3F17E99AB}"/>
            </a:ext>
          </a:extLst>
        </xdr:cNvPr>
        <xdr:cNvSpPr txBox="1"/>
      </xdr:nvSpPr>
      <xdr:spPr>
        <a:xfrm>
          <a:off x="8991600" y="1609725"/>
          <a:ext cx="249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L</a:t>
          </a:r>
        </a:p>
      </xdr:txBody>
    </xdr:sp>
    <xdr:clientData/>
  </xdr:oneCellAnchor>
  <xdr:oneCellAnchor>
    <xdr:from>
      <xdr:col>15</xdr:col>
      <xdr:colOff>600075</xdr:colOff>
      <xdr:row>2</xdr:row>
      <xdr:rowOff>123825</xdr:rowOff>
    </xdr:from>
    <xdr:ext cx="27578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E655E5C-525B-484F-B80E-44BE2E9EE310}"/>
            </a:ext>
          </a:extLst>
        </xdr:cNvPr>
        <xdr:cNvSpPr txBox="1"/>
      </xdr:nvSpPr>
      <xdr:spPr>
        <a:xfrm>
          <a:off x="10629900" y="647700"/>
          <a:ext cx="275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H</a:t>
          </a:r>
        </a:p>
      </xdr:txBody>
    </xdr:sp>
    <xdr:clientData/>
  </xdr:oneCellAnchor>
  <xdr:oneCellAnchor>
    <xdr:from>
      <xdr:col>15</xdr:col>
      <xdr:colOff>590550</xdr:colOff>
      <xdr:row>12</xdr:row>
      <xdr:rowOff>133350</xdr:rowOff>
    </xdr:from>
    <xdr:ext cx="252377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D7408C6-F448-4A0F-9909-989812D486BF}"/>
            </a:ext>
          </a:extLst>
        </xdr:cNvPr>
        <xdr:cNvSpPr txBox="1"/>
      </xdr:nvSpPr>
      <xdr:spPr>
        <a:xfrm>
          <a:off x="10620375" y="2562225"/>
          <a:ext cx="2523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F</a:t>
          </a:r>
        </a:p>
      </xdr:txBody>
    </xdr:sp>
    <xdr:clientData/>
  </xdr:oneCellAnchor>
  <xdr:oneCellAnchor>
    <xdr:from>
      <xdr:col>14</xdr:col>
      <xdr:colOff>228600</xdr:colOff>
      <xdr:row>7</xdr:row>
      <xdr:rowOff>152400</xdr:rowOff>
    </xdr:from>
    <xdr:ext cx="26000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5A371B3-8F6B-4939-9B19-A1492BCD2841}"/>
            </a:ext>
          </a:extLst>
        </xdr:cNvPr>
        <xdr:cNvSpPr txBox="1"/>
      </xdr:nvSpPr>
      <xdr:spPr>
        <a:xfrm>
          <a:off x="9648825" y="1628775"/>
          <a:ext cx="260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A</a:t>
          </a:r>
        </a:p>
      </xdr:txBody>
    </xdr:sp>
    <xdr:clientData/>
  </xdr:oneCellAnchor>
  <xdr:oneCellAnchor>
    <xdr:from>
      <xdr:col>17</xdr:col>
      <xdr:colOff>333375</xdr:colOff>
      <xdr:row>7</xdr:row>
      <xdr:rowOff>123825</xdr:rowOff>
    </xdr:from>
    <xdr:ext cx="25923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84466FF-BC18-4ABA-921F-10B1F07B0D56}"/>
            </a:ext>
          </a:extLst>
        </xdr:cNvPr>
        <xdr:cNvSpPr txBox="1"/>
      </xdr:nvSpPr>
      <xdr:spPr>
        <a:xfrm>
          <a:off x="11582400" y="1600200"/>
          <a:ext cx="2592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P</a:t>
          </a:r>
        </a:p>
      </xdr:txBody>
    </xdr:sp>
    <xdr:clientData/>
  </xdr:oneCellAnchor>
  <xdr:oneCellAnchor>
    <xdr:from>
      <xdr:col>20</xdr:col>
      <xdr:colOff>114300</xdr:colOff>
      <xdr:row>2</xdr:row>
      <xdr:rowOff>133350</xdr:rowOff>
    </xdr:from>
    <xdr:ext cx="27578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B3BD040-CF4B-4FCD-97AA-3CE09836DEE8}"/>
            </a:ext>
          </a:extLst>
        </xdr:cNvPr>
        <xdr:cNvSpPr txBox="1"/>
      </xdr:nvSpPr>
      <xdr:spPr>
        <a:xfrm>
          <a:off x="13192125" y="657225"/>
          <a:ext cx="275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H</a:t>
          </a:r>
        </a:p>
      </xdr:txBody>
    </xdr:sp>
    <xdr:clientData/>
  </xdr:oneCellAnchor>
  <xdr:oneCellAnchor>
    <xdr:from>
      <xdr:col>20</xdr:col>
      <xdr:colOff>104775</xdr:colOff>
      <xdr:row>12</xdr:row>
      <xdr:rowOff>142875</xdr:rowOff>
    </xdr:from>
    <xdr:ext cx="252377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B18D373-EF02-419B-A82E-CF3244058C11}"/>
            </a:ext>
          </a:extLst>
        </xdr:cNvPr>
        <xdr:cNvSpPr txBox="1"/>
      </xdr:nvSpPr>
      <xdr:spPr>
        <a:xfrm>
          <a:off x="13182600" y="2571750"/>
          <a:ext cx="2523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F</a:t>
          </a:r>
        </a:p>
      </xdr:txBody>
    </xdr:sp>
    <xdr:clientData/>
  </xdr:oneCellAnchor>
  <xdr:oneCellAnchor>
    <xdr:from>
      <xdr:col>18</xdr:col>
      <xdr:colOff>352425</xdr:colOff>
      <xdr:row>7</xdr:row>
      <xdr:rowOff>161925</xdr:rowOff>
    </xdr:from>
    <xdr:ext cx="262957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378594E-CA3A-4D35-973C-235041A267ED}"/>
            </a:ext>
          </a:extLst>
        </xdr:cNvPr>
        <xdr:cNvSpPr txBox="1"/>
      </xdr:nvSpPr>
      <xdr:spPr>
        <a:xfrm>
          <a:off x="12211050" y="1638300"/>
          <a:ext cx="2629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R</a:t>
          </a:r>
        </a:p>
      </xdr:txBody>
    </xdr:sp>
    <xdr:clientData/>
  </xdr:oneCellAnchor>
  <xdr:oneCellAnchor>
    <xdr:from>
      <xdr:col>21</xdr:col>
      <xdr:colOff>457200</xdr:colOff>
      <xdr:row>7</xdr:row>
      <xdr:rowOff>133350</xdr:rowOff>
    </xdr:from>
    <xdr:ext cx="24904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1FD4D1B-300E-4714-A5AC-3FA1611266AA}"/>
            </a:ext>
          </a:extLst>
        </xdr:cNvPr>
        <xdr:cNvSpPr txBox="1"/>
      </xdr:nvSpPr>
      <xdr:spPr>
        <a:xfrm>
          <a:off x="14144625" y="1609725"/>
          <a:ext cx="249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L</a:t>
          </a:r>
        </a:p>
      </xdr:txBody>
    </xdr:sp>
    <xdr:clientData/>
  </xdr:oneCellAnchor>
  <xdr:oneCellAnchor>
    <xdr:from>
      <xdr:col>10</xdr:col>
      <xdr:colOff>95250</xdr:colOff>
      <xdr:row>2</xdr:row>
      <xdr:rowOff>123825</xdr:rowOff>
    </xdr:from>
    <xdr:ext cx="39978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F822E59-27EE-4F66-B2B1-23FF9D32D3D0}"/>
            </a:ext>
          </a:extLst>
        </xdr:cNvPr>
        <xdr:cNvSpPr txBox="1"/>
      </xdr:nvSpPr>
      <xdr:spPr>
        <a:xfrm>
          <a:off x="7077075" y="647700"/>
          <a:ext cx="399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TRA</a:t>
          </a:r>
        </a:p>
      </xdr:txBody>
    </xdr:sp>
    <xdr:clientData/>
  </xdr:oneCellAnchor>
  <xdr:oneCellAnchor>
    <xdr:from>
      <xdr:col>14</xdr:col>
      <xdr:colOff>257175</xdr:colOff>
      <xdr:row>2</xdr:row>
      <xdr:rowOff>171450</xdr:rowOff>
    </xdr:from>
    <xdr:ext cx="424347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A8331ED-6717-4975-B202-4B3303CDF8B1}"/>
            </a:ext>
          </a:extLst>
        </xdr:cNvPr>
        <xdr:cNvSpPr txBox="1"/>
      </xdr:nvSpPr>
      <xdr:spPr>
        <a:xfrm>
          <a:off x="9677400" y="695325"/>
          <a:ext cx="4243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SAG</a:t>
          </a:r>
        </a:p>
      </xdr:txBody>
    </xdr:sp>
    <xdr:clientData/>
  </xdr:oneCellAnchor>
  <xdr:oneCellAnchor>
    <xdr:from>
      <xdr:col>18</xdr:col>
      <xdr:colOff>428625</xdr:colOff>
      <xdr:row>2</xdr:row>
      <xdr:rowOff>142875</xdr:rowOff>
    </xdr:from>
    <xdr:ext cx="44634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9A344C1-B9CA-415A-AAAF-AAC118C2217B}"/>
            </a:ext>
          </a:extLst>
        </xdr:cNvPr>
        <xdr:cNvSpPr txBox="1"/>
      </xdr:nvSpPr>
      <xdr:spPr>
        <a:xfrm>
          <a:off x="12287250" y="666750"/>
          <a:ext cx="4463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COR</a:t>
          </a:r>
        </a:p>
      </xdr:txBody>
    </xdr:sp>
    <xdr:clientData/>
  </xdr:oneCellAnchor>
  <xdr:oneCellAnchor>
    <xdr:from>
      <xdr:col>10</xdr:col>
      <xdr:colOff>552450</xdr:colOff>
      <xdr:row>12</xdr:row>
      <xdr:rowOff>85725</xdr:rowOff>
    </xdr:from>
    <xdr:ext cx="25596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13F9213-98F6-4265-B8F3-4F991C291BE8}"/>
            </a:ext>
          </a:extLst>
        </xdr:cNvPr>
        <xdr:cNvSpPr txBox="1"/>
      </xdr:nvSpPr>
      <xdr:spPr>
        <a:xfrm>
          <a:off x="7534275" y="2514600"/>
          <a:ext cx="2559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X</a:t>
          </a:r>
        </a:p>
      </xdr:txBody>
    </xdr:sp>
    <xdr:clientData/>
  </xdr:oneCellAnchor>
  <xdr:oneCellAnchor>
    <xdr:from>
      <xdr:col>10</xdr:col>
      <xdr:colOff>209550</xdr:colOff>
      <xdr:row>11</xdr:row>
      <xdr:rowOff>19050</xdr:rowOff>
    </xdr:from>
    <xdr:ext cx="25417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C0A881A-46E1-43FC-A646-22DE3E71F0AB}"/>
            </a:ext>
          </a:extLst>
        </xdr:cNvPr>
        <xdr:cNvSpPr txBox="1"/>
      </xdr:nvSpPr>
      <xdr:spPr>
        <a:xfrm>
          <a:off x="7191375" y="2257425"/>
          <a:ext cx="25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Y</a:t>
          </a:r>
        </a:p>
      </xdr:txBody>
    </xdr:sp>
    <xdr:clientData/>
  </xdr:oneCellAnchor>
  <xdr:twoCellAnchor>
    <xdr:from>
      <xdr:col>10</xdr:col>
      <xdr:colOff>247650</xdr:colOff>
      <xdr:row>11</xdr:row>
      <xdr:rowOff>133350</xdr:rowOff>
    </xdr:from>
    <xdr:to>
      <xdr:col>10</xdr:col>
      <xdr:colOff>247650</xdr:colOff>
      <xdr:row>13</xdr:row>
      <xdr:rowOff>171450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2DA4BD8-0148-4D3C-BBB6-8A8EF8809517}"/>
            </a:ext>
          </a:extLst>
        </xdr:cNvPr>
        <xdr:cNvCxnSpPr/>
      </xdr:nvCxnSpPr>
      <xdr:spPr>
        <a:xfrm flipH="1" flipV="1">
          <a:off x="7229475" y="2371725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13</xdr:row>
      <xdr:rowOff>114300</xdr:rowOff>
    </xdr:from>
    <xdr:to>
      <xdr:col>11</xdr:col>
      <xdr:colOff>0</xdr:colOff>
      <xdr:row>13</xdr:row>
      <xdr:rowOff>114300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9D64B6E0-57E0-4926-83B8-A4688912CEA4}"/>
            </a:ext>
          </a:extLst>
        </xdr:cNvPr>
        <xdr:cNvCxnSpPr/>
      </xdr:nvCxnSpPr>
      <xdr:spPr>
        <a:xfrm rot="5400000" flipH="1" flipV="1">
          <a:off x="7381875" y="2524125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85725</xdr:colOff>
      <xdr:row>12</xdr:row>
      <xdr:rowOff>133350</xdr:rowOff>
    </xdr:from>
    <xdr:ext cx="254172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D6CF73-2759-4C61-8EA1-E8DDA8B570D3}"/>
            </a:ext>
          </a:extLst>
        </xdr:cNvPr>
        <xdr:cNvSpPr txBox="1"/>
      </xdr:nvSpPr>
      <xdr:spPr>
        <a:xfrm>
          <a:off x="10115550" y="2562225"/>
          <a:ext cx="25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Y</a:t>
          </a:r>
        </a:p>
      </xdr:txBody>
    </xdr:sp>
    <xdr:clientData/>
  </xdr:oneCellAnchor>
  <xdr:oneCellAnchor>
    <xdr:from>
      <xdr:col>14</xdr:col>
      <xdr:colOff>190500</xdr:colOff>
      <xdr:row>10</xdr:row>
      <xdr:rowOff>57150</xdr:rowOff>
    </xdr:from>
    <xdr:ext cx="250966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B48659D-0C75-40C9-AF24-B81EA4484457}"/>
            </a:ext>
          </a:extLst>
        </xdr:cNvPr>
        <xdr:cNvSpPr txBox="1"/>
      </xdr:nvSpPr>
      <xdr:spPr>
        <a:xfrm>
          <a:off x="9610725" y="2105025"/>
          <a:ext cx="2509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Z</a:t>
          </a:r>
        </a:p>
      </xdr:txBody>
    </xdr:sp>
    <xdr:clientData/>
  </xdr:oneCellAnchor>
  <xdr:twoCellAnchor>
    <xdr:from>
      <xdr:col>14</xdr:col>
      <xdr:colOff>381000</xdr:colOff>
      <xdr:row>11</xdr:row>
      <xdr:rowOff>104775</xdr:rowOff>
    </xdr:from>
    <xdr:to>
      <xdr:col>14</xdr:col>
      <xdr:colOff>381000</xdr:colOff>
      <xdr:row>13</xdr:row>
      <xdr:rowOff>142875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5616089-3C9E-4009-A8FE-B6E1EBF15E5A}"/>
            </a:ext>
          </a:extLst>
        </xdr:cNvPr>
        <xdr:cNvCxnSpPr/>
      </xdr:nvCxnSpPr>
      <xdr:spPr>
        <a:xfrm flipH="1" flipV="1">
          <a:off x="9801225" y="23431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13</xdr:row>
      <xdr:rowOff>85725</xdr:rowOff>
    </xdr:from>
    <xdr:to>
      <xdr:col>15</xdr:col>
      <xdr:colOff>133350</xdr:colOff>
      <xdr:row>13</xdr:row>
      <xdr:rowOff>85725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7E3C2C1E-F9C5-45D8-88C4-5D31A25B1CF9}"/>
            </a:ext>
          </a:extLst>
        </xdr:cNvPr>
        <xdr:cNvCxnSpPr/>
      </xdr:nvCxnSpPr>
      <xdr:spPr>
        <a:xfrm rot="5400000" flipH="1" flipV="1">
          <a:off x="9953625" y="24955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161925</xdr:colOff>
      <xdr:row>12</xdr:row>
      <xdr:rowOff>47625</xdr:rowOff>
    </xdr:from>
    <xdr:ext cx="25596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794ADDA-8AB5-4654-B2C2-B58DFDC97EBA}"/>
            </a:ext>
          </a:extLst>
        </xdr:cNvPr>
        <xdr:cNvSpPr txBox="1"/>
      </xdr:nvSpPr>
      <xdr:spPr>
        <a:xfrm>
          <a:off x="12630150" y="2476500"/>
          <a:ext cx="2559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X</a:t>
          </a:r>
        </a:p>
      </xdr:txBody>
    </xdr:sp>
    <xdr:clientData/>
  </xdr:oneCellAnchor>
  <xdr:oneCellAnchor>
    <xdr:from>
      <xdr:col>18</xdr:col>
      <xdr:colOff>428625</xdr:colOff>
      <xdr:row>10</xdr:row>
      <xdr:rowOff>171450</xdr:rowOff>
    </xdr:from>
    <xdr:ext cx="250966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5D08DE4-476F-434B-B810-891C76797497}"/>
            </a:ext>
          </a:extLst>
        </xdr:cNvPr>
        <xdr:cNvSpPr txBox="1"/>
      </xdr:nvSpPr>
      <xdr:spPr>
        <a:xfrm>
          <a:off x="12287250" y="2219325"/>
          <a:ext cx="2509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bg1"/>
              </a:solidFill>
            </a:rPr>
            <a:t>Z</a:t>
          </a:r>
        </a:p>
      </xdr:txBody>
    </xdr:sp>
    <xdr:clientData/>
  </xdr:oneCellAnchor>
  <xdr:twoCellAnchor>
    <xdr:from>
      <xdr:col>18</xdr:col>
      <xdr:colOff>466725</xdr:colOff>
      <xdr:row>11</xdr:row>
      <xdr:rowOff>66675</xdr:rowOff>
    </xdr:from>
    <xdr:to>
      <xdr:col>18</xdr:col>
      <xdr:colOff>466725</xdr:colOff>
      <xdr:row>13</xdr:row>
      <xdr:rowOff>104775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47E5BEA9-E36F-4144-8F09-66C7E340DEC0}"/>
            </a:ext>
          </a:extLst>
        </xdr:cNvPr>
        <xdr:cNvCxnSpPr/>
      </xdr:nvCxnSpPr>
      <xdr:spPr>
        <a:xfrm flipH="1" flipV="1">
          <a:off x="12325350" y="23050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409575</xdr:colOff>
      <xdr:row>13</xdr:row>
      <xdr:rowOff>47625</xdr:rowOff>
    </xdr:from>
    <xdr:to>
      <xdr:col>19</xdr:col>
      <xdr:colOff>219075</xdr:colOff>
      <xdr:row>13</xdr:row>
      <xdr:rowOff>47625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1A723C0-17AA-43C6-B1C2-E9A127A82552}"/>
            </a:ext>
          </a:extLst>
        </xdr:cNvPr>
        <xdr:cNvCxnSpPr/>
      </xdr:nvCxnSpPr>
      <xdr:spPr>
        <a:xfrm rot="5400000" flipH="1" flipV="1">
          <a:off x="12477750" y="2457450"/>
          <a:ext cx="0" cy="41910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</xdr:colOff>
      <xdr:row>9</xdr:row>
      <xdr:rowOff>76200</xdr:rowOff>
    </xdr:from>
    <xdr:ext cx="4848225" cy="78124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ADA3A-3C54-4FF0-AA14-B89DA851C4AA}"/>
            </a:ext>
          </a:extLst>
        </xdr:cNvPr>
        <xdr:cNvSpPr txBox="1"/>
      </xdr:nvSpPr>
      <xdr:spPr>
        <a:xfrm>
          <a:off x="85725" y="1933575"/>
          <a:ext cx="4848225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Follow the instructions included in sheets "HC Tra Uniformity", "HC Sag Uniformity" and "HC Cor Uniformity"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Copy the Uniformity Profile chart into the report</a:t>
          </a:r>
          <a:endParaRPr lang="en-GB" sz="1100" baseline="0"/>
        </a:p>
      </xdr:txBody>
    </xdr:sp>
    <xdr:clientData/>
  </xdr:oneCellAnchor>
  <xdr:oneCellAnchor>
    <xdr:from>
      <xdr:col>0</xdr:col>
      <xdr:colOff>123825</xdr:colOff>
      <xdr:row>15</xdr:row>
      <xdr:rowOff>142875</xdr:rowOff>
    </xdr:from>
    <xdr:ext cx="5200650" cy="176212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BB79D55-76C7-4D0C-AA36-FF4FBC3E6E04}"/>
            </a:ext>
          </a:extLst>
        </xdr:cNvPr>
        <xdr:cNvSpPr txBox="1"/>
      </xdr:nvSpPr>
      <xdr:spPr>
        <a:xfrm>
          <a:off x="123825" y="3143250"/>
          <a:ext cx="5200650" cy="176212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>
              <a:latin typeface="+mn-lt"/>
            </a:rPr>
            <a:t>The x-direction is</a:t>
          </a:r>
          <a:r>
            <a:rPr lang="en-GB" sz="1100" b="0" i="0" baseline="0">
              <a:latin typeface="+mn-lt"/>
            </a:rPr>
            <a:t> left-right, the y-direction is up-down and the z-direction is along the bore:</a:t>
          </a: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/>
        </a:p>
      </xdr:txBody>
    </xdr:sp>
    <xdr:clientData/>
  </xdr:oneCellAnchor>
  <xdr:twoCellAnchor>
    <xdr:from>
      <xdr:col>1</xdr:col>
      <xdr:colOff>314325</xdr:colOff>
      <xdr:row>18</xdr:row>
      <xdr:rowOff>19050</xdr:rowOff>
    </xdr:from>
    <xdr:to>
      <xdr:col>5</xdr:col>
      <xdr:colOff>462569</xdr:colOff>
      <xdr:row>23</xdr:row>
      <xdr:rowOff>180975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2A6D1156-7BFF-44EB-9419-AE687757E2BA}"/>
            </a:ext>
          </a:extLst>
        </xdr:cNvPr>
        <xdr:cNvGrpSpPr/>
      </xdr:nvGrpSpPr>
      <xdr:grpSpPr>
        <a:xfrm>
          <a:off x="1038225" y="3590925"/>
          <a:ext cx="3358169" cy="1114425"/>
          <a:chOff x="1066799" y="3390900"/>
          <a:chExt cx="3358169" cy="1114425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8F3D1DC5-4A43-4D25-60D7-17368E081A96}"/>
              </a:ext>
            </a:extLst>
          </xdr:cNvPr>
          <xdr:cNvGrpSpPr/>
        </xdr:nvGrpSpPr>
        <xdr:grpSpPr>
          <a:xfrm>
            <a:off x="3505200" y="3724275"/>
            <a:ext cx="919768" cy="727880"/>
            <a:chOff x="3362325" y="4924425"/>
            <a:chExt cx="919768" cy="727880"/>
          </a:xfrm>
        </xdr:grpSpPr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61946AA-DD9A-AB66-A1E2-124FDE28D4AB}"/>
                </a:ext>
              </a:extLst>
            </xdr:cNvPr>
            <xdr:cNvSpPr txBox="1"/>
          </xdr:nvSpPr>
          <xdr:spPr>
            <a:xfrm>
              <a:off x="3667125" y="4924425"/>
              <a:ext cx="253211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200" b="1"/>
                <a:t>y</a:t>
              </a:r>
            </a:p>
          </xdr:txBody>
        </xdr:sp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EB0FB2B1-1263-377B-693A-D0E969EEAA9B}"/>
                </a:ext>
              </a:extLst>
            </xdr:cNvPr>
            <xdr:cNvGrpSpPr/>
          </xdr:nvGrpSpPr>
          <xdr:grpSpPr>
            <a:xfrm>
              <a:off x="3362325" y="5181600"/>
              <a:ext cx="919768" cy="470705"/>
              <a:chOff x="3362325" y="5181600"/>
              <a:chExt cx="919768" cy="470705"/>
            </a:xfrm>
          </xdr:grpSpPr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7D536B74-5E30-5A81-6DA3-6E2CBB648577}"/>
                  </a:ext>
                </a:extLst>
              </xdr:cNvPr>
              <xdr:cNvSpPr txBox="1"/>
            </xdr:nvSpPr>
            <xdr:spPr>
              <a:xfrm>
                <a:off x="3362325" y="5372100"/>
                <a:ext cx="248914" cy="280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GB" sz="1200" b="1"/>
                  <a:t>z</a:t>
                </a:r>
              </a:p>
            </xdr:txBody>
          </xdr:sp>
          <xdr:grpSp>
            <xdr:nvGrpSpPr>
              <xdr:cNvPr id="63" name="Group 62">
                <a:extLst>
                  <a:ext uri="{FF2B5EF4-FFF2-40B4-BE49-F238E27FC236}">
                    <a16:creationId xmlns:a16="http://schemas.microsoft.com/office/drawing/2014/main" id="{8BB675B2-D2DF-A85E-C41E-5868507A0767}"/>
                  </a:ext>
                </a:extLst>
              </xdr:cNvPr>
              <xdr:cNvGrpSpPr/>
            </xdr:nvGrpSpPr>
            <xdr:grpSpPr>
              <a:xfrm>
                <a:off x="3409950" y="5181600"/>
                <a:ext cx="872143" cy="466725"/>
                <a:chOff x="3800475" y="3971925"/>
                <a:chExt cx="872143" cy="466725"/>
              </a:xfrm>
            </xdr:grpSpPr>
            <xdr:grpSp>
              <xdr:nvGrpSpPr>
                <xdr:cNvPr id="64" name="Group 63">
                  <a:extLst>
                    <a:ext uri="{FF2B5EF4-FFF2-40B4-BE49-F238E27FC236}">
                      <a16:creationId xmlns:a16="http://schemas.microsoft.com/office/drawing/2014/main" id="{2EF97E9C-0BD1-9D5A-0454-7ACD3806F851}"/>
                    </a:ext>
                  </a:extLst>
                </xdr:cNvPr>
                <xdr:cNvGrpSpPr/>
              </xdr:nvGrpSpPr>
              <xdr:grpSpPr>
                <a:xfrm>
                  <a:off x="3800475" y="3971925"/>
                  <a:ext cx="666750" cy="466725"/>
                  <a:chOff x="3629025" y="3695700"/>
                  <a:chExt cx="666750" cy="466725"/>
                </a:xfrm>
              </xdr:grpSpPr>
              <xdr:cxnSp macro="">
                <xdr:nvCxnSpPr>
                  <xdr:cNvPr id="66" name="Straight Arrow Connector 65">
                    <a:extLst>
                      <a:ext uri="{FF2B5EF4-FFF2-40B4-BE49-F238E27FC236}">
                        <a16:creationId xmlns:a16="http://schemas.microsoft.com/office/drawing/2014/main" id="{31B488FD-1899-984D-C92B-9EA434DDA28F}"/>
                      </a:ext>
                    </a:extLst>
                  </xdr:cNvPr>
                  <xdr:cNvCxnSpPr/>
                </xdr:nvCxnSpPr>
                <xdr:spPr>
                  <a:xfrm flipV="1">
                    <a:off x="4048125" y="3838575"/>
                    <a:ext cx="247650" cy="3143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7" name="Straight Arrow Connector 66">
                    <a:extLst>
                      <a:ext uri="{FF2B5EF4-FFF2-40B4-BE49-F238E27FC236}">
                        <a16:creationId xmlns:a16="http://schemas.microsoft.com/office/drawing/2014/main" id="{847056FB-CB55-7C02-FA00-B3D3A8E9BB73}"/>
                      </a:ext>
                    </a:extLst>
                  </xdr:cNvPr>
                  <xdr:cNvCxnSpPr/>
                </xdr:nvCxnSpPr>
                <xdr:spPr>
                  <a:xfrm flipV="1">
                    <a:off x="4038600" y="3695700"/>
                    <a:ext cx="0" cy="4667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8" name="Straight Arrow Connector 67">
                    <a:extLst>
                      <a:ext uri="{FF2B5EF4-FFF2-40B4-BE49-F238E27FC236}">
                        <a16:creationId xmlns:a16="http://schemas.microsoft.com/office/drawing/2014/main" id="{886E0728-7087-DB35-B303-AC8A21653ED9}"/>
                      </a:ext>
                    </a:extLst>
                  </xdr:cNvPr>
                  <xdr:cNvCxnSpPr/>
                </xdr:nvCxnSpPr>
                <xdr:spPr>
                  <a:xfrm flipH="1">
                    <a:off x="3629025" y="4152900"/>
                    <a:ext cx="419100" cy="95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65" name="TextBox 64">
                  <a:extLst>
                    <a:ext uri="{FF2B5EF4-FFF2-40B4-BE49-F238E27FC236}">
                      <a16:creationId xmlns:a16="http://schemas.microsoft.com/office/drawing/2014/main" id="{A9F7E4A2-B1C6-92CA-18E3-DC3574DEBF29}"/>
                    </a:ext>
                  </a:extLst>
                </xdr:cNvPr>
                <xdr:cNvSpPr txBox="1"/>
              </xdr:nvSpPr>
              <xdr:spPr>
                <a:xfrm>
                  <a:off x="4419600" y="3971925"/>
                  <a:ext cx="253018" cy="28020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en-GB" sz="1200" b="1"/>
                    <a:t>x</a:t>
                  </a:r>
                </a:p>
              </xdr:txBody>
            </xdr:sp>
          </xdr:grpSp>
        </xdr:grpSp>
      </xdr:grp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6B0E0611-21A9-C477-16B3-8C0DEB7C5D57}"/>
              </a:ext>
            </a:extLst>
          </xdr:cNvPr>
          <xdr:cNvGrpSpPr/>
        </xdr:nvGrpSpPr>
        <xdr:grpSpPr>
          <a:xfrm>
            <a:off x="1066799" y="3390900"/>
            <a:ext cx="2124076" cy="1114425"/>
            <a:chOff x="1066799" y="3390900"/>
            <a:chExt cx="2124076" cy="1114425"/>
          </a:xfrm>
        </xdr:grpSpPr>
        <xdr:sp macro="" textlink="">
          <xdr:nvSpPr>
            <xdr:cNvPr id="57" name="Cylinder 56">
              <a:extLst>
                <a:ext uri="{FF2B5EF4-FFF2-40B4-BE49-F238E27FC236}">
                  <a16:creationId xmlns:a16="http://schemas.microsoft.com/office/drawing/2014/main" id="{3C0722EA-002E-E8BC-FDC3-BE70B023C62C}"/>
                </a:ext>
              </a:extLst>
            </xdr:cNvPr>
            <xdr:cNvSpPr/>
          </xdr:nvSpPr>
          <xdr:spPr>
            <a:xfrm rot="5400000">
              <a:off x="1181099" y="3276600"/>
              <a:ext cx="1114425" cy="1343025"/>
            </a:xfrm>
            <a:prstGeom prst="can">
              <a:avLst>
                <a:gd name="adj" fmla="val 29273"/>
              </a:avLst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8" name="Oval 57">
              <a:extLst>
                <a:ext uri="{FF2B5EF4-FFF2-40B4-BE49-F238E27FC236}">
                  <a16:creationId xmlns:a16="http://schemas.microsoft.com/office/drawing/2014/main" id="{04D08C74-AB22-E468-384F-15AC12B13DE5}"/>
                </a:ext>
              </a:extLst>
            </xdr:cNvPr>
            <xdr:cNvSpPr/>
          </xdr:nvSpPr>
          <xdr:spPr>
            <a:xfrm>
              <a:off x="2181226" y="3638551"/>
              <a:ext cx="171450" cy="666749"/>
            </a:xfrm>
            <a:prstGeom prst="ellipse">
              <a:avLst/>
            </a:prstGeom>
            <a:solidFill>
              <a:schemeClr val="bg1">
                <a:lumMod val="6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9" name="Cube 58">
              <a:extLst>
                <a:ext uri="{FF2B5EF4-FFF2-40B4-BE49-F238E27FC236}">
                  <a16:creationId xmlns:a16="http://schemas.microsoft.com/office/drawing/2014/main" id="{13C59F4C-7FD5-9B96-214F-D85F3C34EA45}"/>
                </a:ext>
              </a:extLst>
            </xdr:cNvPr>
            <xdr:cNvSpPr/>
          </xdr:nvSpPr>
          <xdr:spPr>
            <a:xfrm>
              <a:off x="2209800" y="4029074"/>
              <a:ext cx="981075" cy="476251"/>
            </a:xfrm>
            <a:prstGeom prst="cub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twoCellAnchor>
    <xdr:from>
      <xdr:col>8</xdr:col>
      <xdr:colOff>38100</xdr:colOff>
      <xdr:row>8</xdr:row>
      <xdr:rowOff>19050</xdr:rowOff>
    </xdr:from>
    <xdr:to>
      <xdr:col>15</xdr:col>
      <xdr:colOff>400050</xdr:colOff>
      <xdr:row>25</xdr:row>
      <xdr:rowOff>20550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2FDD4-677F-4986-9617-B1BA0EEF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119061</xdr:rowOff>
    </xdr:from>
    <xdr:to>
      <xdr:col>17</xdr:col>
      <xdr:colOff>57150</xdr:colOff>
      <xdr:row>25</xdr:row>
      <xdr:rowOff>120561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CDCD6-CD86-40CF-A9EB-91487B116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25</xdr:row>
      <xdr:rowOff>171450</xdr:rowOff>
    </xdr:from>
    <xdr:to>
      <xdr:col>17</xdr:col>
      <xdr:colOff>57150</xdr:colOff>
      <xdr:row>42</xdr:row>
      <xdr:rowOff>172950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2F02D-E804-4FF7-BAC9-EDB1D9BAE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304798</xdr:colOff>
      <xdr:row>3</xdr:row>
      <xdr:rowOff>123825</xdr:rowOff>
    </xdr:from>
    <xdr:ext cx="6480000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909304-0560-4A6C-A65B-299B888EB264}"/>
            </a:ext>
          </a:extLst>
        </xdr:cNvPr>
        <xdr:cNvSpPr txBox="1"/>
      </xdr:nvSpPr>
      <xdr:spPr>
        <a:xfrm>
          <a:off x="9153523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Analysis_Results\Uniformity\HC_TRA_UNIFORMITY_HORIZONTAL.csv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HC_TRA_UNIFORMITY_VERTICAL.csv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Analysis_Results\Uniformity\HC_TRA_UNIFORMITY_ROIs.png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119061</xdr:rowOff>
    </xdr:from>
    <xdr:to>
      <xdr:col>17</xdr:col>
      <xdr:colOff>57150</xdr:colOff>
      <xdr:row>25</xdr:row>
      <xdr:rowOff>120561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46FA6-8D7D-45B6-9625-563A88B95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25</xdr:row>
      <xdr:rowOff>171450</xdr:rowOff>
    </xdr:from>
    <xdr:to>
      <xdr:col>17</xdr:col>
      <xdr:colOff>57150</xdr:colOff>
      <xdr:row>42</xdr:row>
      <xdr:rowOff>172950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470A91-E198-494C-BAD8-B5210EFDC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304798</xdr:colOff>
      <xdr:row>3</xdr:row>
      <xdr:rowOff>123825</xdr:rowOff>
    </xdr:from>
    <xdr:ext cx="6480000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2BE315-B8D1-4D87-B59B-3CA5C6C2094D}"/>
            </a:ext>
          </a:extLst>
        </xdr:cNvPr>
        <xdr:cNvSpPr txBox="1"/>
      </xdr:nvSpPr>
      <xdr:spPr>
        <a:xfrm>
          <a:off x="9153523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Analysis_Results\Uniformity\HC_SAG_UNIFORMITY_HORIZONTAL.csv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HC_SAG_UNIFORMITY_VERTICAL.csv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Analysis_Results\Uniformity\HC_SAG_UNIFORMITY_ROIs.png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119061</xdr:rowOff>
    </xdr:from>
    <xdr:to>
      <xdr:col>17</xdr:col>
      <xdr:colOff>57150</xdr:colOff>
      <xdr:row>25</xdr:row>
      <xdr:rowOff>120561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80965-1CC6-4E80-9993-6D09F8578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25</xdr:row>
      <xdr:rowOff>171450</xdr:rowOff>
    </xdr:from>
    <xdr:to>
      <xdr:col>17</xdr:col>
      <xdr:colOff>57150</xdr:colOff>
      <xdr:row>42</xdr:row>
      <xdr:rowOff>172950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E17A6-7162-4ED3-AC0C-E598951B3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304798</xdr:colOff>
      <xdr:row>3</xdr:row>
      <xdr:rowOff>123825</xdr:rowOff>
    </xdr:from>
    <xdr:ext cx="6480000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78A61E-DFAC-478D-A34E-BFB5A576C4D7}"/>
            </a:ext>
          </a:extLst>
        </xdr:cNvPr>
        <xdr:cNvSpPr txBox="1"/>
      </xdr:nvSpPr>
      <xdr:spPr>
        <a:xfrm>
          <a:off x="9153523" y="695325"/>
          <a:ext cx="6480000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values from Analysis_Results\Uniformity\HC_COR_UNIFORMITY_HORIZONTAL.csv into cells B6:C165</a:t>
          </a:r>
          <a:endParaRPr lang="en-GB" sz="1100" baseline="0"/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Analysis_Results\Uniformity\</a:t>
          </a:r>
          <a:r>
            <a:rPr lang="en-GB" sz="1100" baseline="0"/>
            <a:t>HC_COR_UNIFORMITY_VERTICAL.csv into cells G6:H165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Analysis_Results\Uniformity\HC_COR_UNIFORMITY_ROIs.png over cell S13</a:t>
          </a:r>
          <a:endParaRPr lang="en-GB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23</xdr:row>
      <xdr:rowOff>76200</xdr:rowOff>
    </xdr:from>
    <xdr:ext cx="5200650" cy="17621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7AD4AD-DF53-4FB6-86D7-869BD31ADF23}"/>
            </a:ext>
          </a:extLst>
        </xdr:cNvPr>
        <xdr:cNvSpPr txBox="1"/>
      </xdr:nvSpPr>
      <xdr:spPr>
        <a:xfrm>
          <a:off x="95250" y="4791075"/>
          <a:ext cx="5200650" cy="176212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>
              <a:latin typeface="+mn-lt"/>
            </a:rPr>
            <a:t>The x-direction is</a:t>
          </a:r>
          <a:r>
            <a:rPr lang="en-GB" sz="1100" b="0" i="0" baseline="0">
              <a:latin typeface="+mn-lt"/>
            </a:rPr>
            <a:t> left-right, the y-direction is up-down and the z-direction is along the bore:</a:t>
          </a: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/>
        </a:p>
      </xdr:txBody>
    </xdr:sp>
    <xdr:clientData/>
  </xdr:oneCellAnchor>
  <xdr:twoCellAnchor>
    <xdr:from>
      <xdr:col>0</xdr:col>
      <xdr:colOff>1095375</xdr:colOff>
      <xdr:row>25</xdr:row>
      <xdr:rowOff>123825</xdr:rowOff>
    </xdr:from>
    <xdr:to>
      <xdr:col>3</xdr:col>
      <xdr:colOff>110144</xdr:colOff>
      <xdr:row>31</xdr:row>
      <xdr:rowOff>95250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3ED391F-49A7-4591-A84A-77761927F990}"/>
            </a:ext>
          </a:extLst>
        </xdr:cNvPr>
        <xdr:cNvGrpSpPr/>
      </xdr:nvGrpSpPr>
      <xdr:grpSpPr>
        <a:xfrm>
          <a:off x="1095375" y="5029200"/>
          <a:ext cx="3348644" cy="1114425"/>
          <a:chOff x="1066799" y="3390900"/>
          <a:chExt cx="3358169" cy="111442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2A7400-740D-5374-B808-D5FEEDC634E6}"/>
              </a:ext>
            </a:extLst>
          </xdr:cNvPr>
          <xdr:cNvGrpSpPr/>
        </xdr:nvGrpSpPr>
        <xdr:grpSpPr>
          <a:xfrm>
            <a:off x="3505200" y="3724275"/>
            <a:ext cx="919768" cy="727880"/>
            <a:chOff x="3362325" y="4924425"/>
            <a:chExt cx="919768" cy="727880"/>
          </a:xfrm>
        </xdr:grpSpPr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9DC37A6-9DCB-1B36-5B21-865363DCE64B}"/>
                </a:ext>
              </a:extLst>
            </xdr:cNvPr>
            <xdr:cNvSpPr txBox="1"/>
          </xdr:nvSpPr>
          <xdr:spPr>
            <a:xfrm>
              <a:off x="3667125" y="4924425"/>
              <a:ext cx="253211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200" b="1"/>
                <a:t>y</a:t>
              </a:r>
            </a:p>
          </xdr:txBody>
        </xdr: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7658922D-6DFC-B64F-ACD7-E91E915E0036}"/>
                </a:ext>
              </a:extLst>
            </xdr:cNvPr>
            <xdr:cNvGrpSpPr/>
          </xdr:nvGrpSpPr>
          <xdr:grpSpPr>
            <a:xfrm>
              <a:off x="3362325" y="5181600"/>
              <a:ext cx="919768" cy="470705"/>
              <a:chOff x="3362325" y="5181600"/>
              <a:chExt cx="919768" cy="470705"/>
            </a:xfrm>
          </xdr:grpSpPr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C7550ED7-5885-D645-43DA-372B4E735BEE}"/>
                  </a:ext>
                </a:extLst>
              </xdr:cNvPr>
              <xdr:cNvSpPr txBox="1"/>
            </xdr:nvSpPr>
            <xdr:spPr>
              <a:xfrm>
                <a:off x="3362325" y="5372100"/>
                <a:ext cx="248914" cy="280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GB" sz="1200" b="1"/>
                  <a:t>z</a:t>
                </a:r>
              </a:p>
            </xdr:txBody>
          </xdr:sp>
          <xdr:grpSp>
            <xdr:nvGrpSpPr>
              <xdr:cNvPr id="12" name="Group 11">
                <a:extLst>
                  <a:ext uri="{FF2B5EF4-FFF2-40B4-BE49-F238E27FC236}">
                    <a16:creationId xmlns:a16="http://schemas.microsoft.com/office/drawing/2014/main" id="{C4338B34-0359-9CD6-864D-74350552419C}"/>
                  </a:ext>
                </a:extLst>
              </xdr:cNvPr>
              <xdr:cNvGrpSpPr/>
            </xdr:nvGrpSpPr>
            <xdr:grpSpPr>
              <a:xfrm>
                <a:off x="3409950" y="5181600"/>
                <a:ext cx="872143" cy="466725"/>
                <a:chOff x="3800475" y="3971925"/>
                <a:chExt cx="872143" cy="466725"/>
              </a:xfrm>
            </xdr:grpSpPr>
            <xdr:grpSp>
              <xdr:nvGrpSpPr>
                <xdr:cNvPr id="13" name="Group 12">
                  <a:extLst>
                    <a:ext uri="{FF2B5EF4-FFF2-40B4-BE49-F238E27FC236}">
                      <a16:creationId xmlns:a16="http://schemas.microsoft.com/office/drawing/2014/main" id="{377634B6-DB9D-D5DB-B1E8-8BD771EC55AD}"/>
                    </a:ext>
                  </a:extLst>
                </xdr:cNvPr>
                <xdr:cNvGrpSpPr/>
              </xdr:nvGrpSpPr>
              <xdr:grpSpPr>
                <a:xfrm>
                  <a:off x="3800475" y="3971925"/>
                  <a:ext cx="666750" cy="466725"/>
                  <a:chOff x="3629025" y="3695700"/>
                  <a:chExt cx="666750" cy="466725"/>
                </a:xfrm>
              </xdr:grpSpPr>
              <xdr:cxnSp macro="">
                <xdr:nvCxnSpPr>
                  <xdr:cNvPr id="15" name="Straight Arrow Connector 14">
                    <a:extLst>
                      <a:ext uri="{FF2B5EF4-FFF2-40B4-BE49-F238E27FC236}">
                        <a16:creationId xmlns:a16="http://schemas.microsoft.com/office/drawing/2014/main" id="{FD8BE2CF-DF9F-6D7E-3AC6-85095D8705C0}"/>
                      </a:ext>
                    </a:extLst>
                  </xdr:cNvPr>
                  <xdr:cNvCxnSpPr/>
                </xdr:nvCxnSpPr>
                <xdr:spPr>
                  <a:xfrm flipV="1">
                    <a:off x="4048125" y="3838575"/>
                    <a:ext cx="247650" cy="3143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6" name="Straight Arrow Connector 15">
                    <a:extLst>
                      <a:ext uri="{FF2B5EF4-FFF2-40B4-BE49-F238E27FC236}">
                        <a16:creationId xmlns:a16="http://schemas.microsoft.com/office/drawing/2014/main" id="{C209D0AD-C6E8-6189-1A30-B3FB2123415D}"/>
                      </a:ext>
                    </a:extLst>
                  </xdr:cNvPr>
                  <xdr:cNvCxnSpPr/>
                </xdr:nvCxnSpPr>
                <xdr:spPr>
                  <a:xfrm flipV="1">
                    <a:off x="4038600" y="3695700"/>
                    <a:ext cx="0" cy="4667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" name="Straight Arrow Connector 16">
                    <a:extLst>
                      <a:ext uri="{FF2B5EF4-FFF2-40B4-BE49-F238E27FC236}">
                        <a16:creationId xmlns:a16="http://schemas.microsoft.com/office/drawing/2014/main" id="{511E0637-E6E7-5F31-36C8-EB63D302487B}"/>
                      </a:ext>
                    </a:extLst>
                  </xdr:cNvPr>
                  <xdr:cNvCxnSpPr/>
                </xdr:nvCxnSpPr>
                <xdr:spPr>
                  <a:xfrm flipH="1">
                    <a:off x="3629025" y="4152900"/>
                    <a:ext cx="419100" cy="9525"/>
                  </a:xfrm>
                  <a:prstGeom prst="straightConnector1">
                    <a:avLst/>
                  </a:prstGeom>
                  <a:ln>
                    <a:solidFill>
                      <a:sysClr val="windowText" lastClr="00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CBAF5D17-D0A8-4BDA-C602-0642729480EA}"/>
                    </a:ext>
                  </a:extLst>
                </xdr:cNvPr>
                <xdr:cNvSpPr txBox="1"/>
              </xdr:nvSpPr>
              <xdr:spPr>
                <a:xfrm>
                  <a:off x="4419600" y="3971925"/>
                  <a:ext cx="253018" cy="28020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en-GB" sz="1200" b="1"/>
                    <a:t>x</a:t>
                  </a:r>
                </a:p>
              </xdr:txBody>
            </xdr:sp>
          </xdr:grpSp>
        </xdr:grp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9C87924-F336-B3CF-BD16-832701EBAF97}"/>
              </a:ext>
            </a:extLst>
          </xdr:cNvPr>
          <xdr:cNvGrpSpPr/>
        </xdr:nvGrpSpPr>
        <xdr:grpSpPr>
          <a:xfrm>
            <a:off x="1066799" y="3390900"/>
            <a:ext cx="2124076" cy="1114425"/>
            <a:chOff x="1066799" y="3390900"/>
            <a:chExt cx="2124076" cy="1114425"/>
          </a:xfrm>
        </xdr:grpSpPr>
        <xdr:sp macro="" textlink="">
          <xdr:nvSpPr>
            <xdr:cNvPr id="6" name="Cylinder 5">
              <a:extLst>
                <a:ext uri="{FF2B5EF4-FFF2-40B4-BE49-F238E27FC236}">
                  <a16:creationId xmlns:a16="http://schemas.microsoft.com/office/drawing/2014/main" id="{ADE911D1-09A8-127A-8A55-FA1631FACCCB}"/>
                </a:ext>
              </a:extLst>
            </xdr:cNvPr>
            <xdr:cNvSpPr/>
          </xdr:nvSpPr>
          <xdr:spPr>
            <a:xfrm rot="5400000">
              <a:off x="1181099" y="3276600"/>
              <a:ext cx="1114425" cy="1343025"/>
            </a:xfrm>
            <a:prstGeom prst="can">
              <a:avLst>
                <a:gd name="adj" fmla="val 29273"/>
              </a:avLst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8D2E3B6-9BEB-6990-A64C-82650FCD857A}"/>
                </a:ext>
              </a:extLst>
            </xdr:cNvPr>
            <xdr:cNvSpPr/>
          </xdr:nvSpPr>
          <xdr:spPr>
            <a:xfrm>
              <a:off x="2181226" y="3638551"/>
              <a:ext cx="171450" cy="666749"/>
            </a:xfrm>
            <a:prstGeom prst="ellipse">
              <a:avLst/>
            </a:prstGeom>
            <a:solidFill>
              <a:schemeClr val="bg1">
                <a:lumMod val="6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8" name="Cube 7">
              <a:extLst>
                <a:ext uri="{FF2B5EF4-FFF2-40B4-BE49-F238E27FC236}">
                  <a16:creationId xmlns:a16="http://schemas.microsoft.com/office/drawing/2014/main" id="{2F9279DA-83B1-E884-8849-8C5C9628417C}"/>
                </a:ext>
              </a:extLst>
            </xdr:cNvPr>
            <xdr:cNvSpPr/>
          </xdr:nvSpPr>
          <xdr:spPr>
            <a:xfrm>
              <a:off x="2209800" y="4029074"/>
              <a:ext cx="981075" cy="476251"/>
            </a:xfrm>
            <a:prstGeom prst="cub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001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oneCellAnchor>
    <xdr:from>
      <xdr:col>4</xdr:col>
      <xdr:colOff>685800</xdr:colOff>
      <xdr:row>23</xdr:row>
      <xdr:rowOff>66675</xdr:rowOff>
    </xdr:from>
    <xdr:ext cx="3381375" cy="210502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A674B2F-152D-4A84-AA1D-D7E08D265BF6}"/>
            </a:ext>
          </a:extLst>
        </xdr:cNvPr>
        <xdr:cNvSpPr txBox="1"/>
      </xdr:nvSpPr>
      <xdr:spPr>
        <a:xfrm>
          <a:off x="5743575" y="4781550"/>
          <a:ext cx="3381375" cy="210502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>
              <a:latin typeface="+mn-lt"/>
            </a:rPr>
            <a:t>Rod positions:</a:t>
          </a:r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 b="0" i="0" baseline="0">
            <a:latin typeface="+mn-lt"/>
          </a:endParaRPr>
        </a:p>
        <a:p>
          <a:endParaRPr lang="en-GB" sz="1100"/>
        </a:p>
      </xdr:txBody>
    </xdr:sp>
    <xdr:clientData/>
  </xdr:oneCellAnchor>
  <xdr:twoCellAnchor>
    <xdr:from>
      <xdr:col>5</xdr:col>
      <xdr:colOff>809625</xdr:colOff>
      <xdr:row>24</xdr:row>
      <xdr:rowOff>47624</xdr:rowOff>
    </xdr:from>
    <xdr:to>
      <xdr:col>7</xdr:col>
      <xdr:colOff>295050</xdr:colOff>
      <xdr:row>33</xdr:row>
      <xdr:rowOff>133124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417FE34A-7E9A-5F87-66CC-660FA30041E7}"/>
            </a:ext>
          </a:extLst>
        </xdr:cNvPr>
        <xdr:cNvGrpSpPr/>
      </xdr:nvGrpSpPr>
      <xdr:grpSpPr>
        <a:xfrm>
          <a:off x="6753225" y="4762499"/>
          <a:ext cx="1800000" cy="1800000"/>
          <a:chOff x="7010400" y="5181599"/>
          <a:chExt cx="1800000" cy="1800000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EB0C7F21-A33F-1D9D-2DD6-B251609D7066}"/>
              </a:ext>
            </a:extLst>
          </xdr:cNvPr>
          <xdr:cNvGrpSpPr/>
        </xdr:nvGrpSpPr>
        <xdr:grpSpPr>
          <a:xfrm>
            <a:off x="7010400" y="5181599"/>
            <a:ext cx="1800000" cy="1800000"/>
            <a:chOff x="7010400" y="5181599"/>
            <a:chExt cx="1800000" cy="1800000"/>
          </a:xfrm>
        </xdr:grpSpPr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6A8F7EC6-B249-CA62-96B1-CEC8AEEA5832}"/>
                </a:ext>
              </a:extLst>
            </xdr:cNvPr>
            <xdr:cNvSpPr/>
          </xdr:nvSpPr>
          <xdr:spPr>
            <a:xfrm>
              <a:off x="7010400" y="5181599"/>
              <a:ext cx="1800000" cy="1800000"/>
            </a:xfrm>
            <a:prstGeom prst="rect">
              <a:avLst/>
            </a:prstGeom>
            <a:solidFill>
              <a:schemeClr val="tx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0" name="Oval 19">
              <a:extLst>
                <a:ext uri="{FF2B5EF4-FFF2-40B4-BE49-F238E27FC236}">
                  <a16:creationId xmlns:a16="http://schemas.microsoft.com/office/drawing/2014/main" id="{A842C704-56ED-F815-69E5-E2CD7449FE48}"/>
                </a:ext>
              </a:extLst>
            </xdr:cNvPr>
            <xdr:cNvSpPr/>
          </xdr:nvSpPr>
          <xdr:spPr>
            <a:xfrm>
              <a:off x="7229475" y="5372099"/>
              <a:ext cx="1440000" cy="1440000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80AE8EAA-E011-4860-7106-0B80A51BAB6E}"/>
              </a:ext>
            </a:extLst>
          </xdr:cNvPr>
          <xdr:cNvGrpSpPr/>
        </xdr:nvGrpSpPr>
        <xdr:grpSpPr>
          <a:xfrm>
            <a:off x="7591425" y="5753100"/>
            <a:ext cx="720750" cy="701700"/>
            <a:chOff x="7591425" y="5753100"/>
            <a:chExt cx="720750" cy="701700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2345634C-C360-D1CE-D88B-7EE811C94FFF}"/>
                </a:ext>
              </a:extLst>
            </xdr:cNvPr>
            <xdr:cNvGrpSpPr/>
          </xdr:nvGrpSpPr>
          <xdr:grpSpPr>
            <a:xfrm>
              <a:off x="7591425" y="5753100"/>
              <a:ext cx="720750" cy="73050"/>
              <a:chOff x="7591425" y="5753100"/>
              <a:chExt cx="720750" cy="73050"/>
            </a:xfrm>
          </xdr:grpSpPr>
          <xdr:sp macro="" textlink="">
            <xdr:nvSpPr>
              <xdr:cNvPr id="22" name="Oval 21">
                <a:extLst>
                  <a:ext uri="{FF2B5EF4-FFF2-40B4-BE49-F238E27FC236}">
                    <a16:creationId xmlns:a16="http://schemas.microsoft.com/office/drawing/2014/main" id="{47E0066F-5DF7-8516-CDFD-3D49A6CE72EB}"/>
                  </a:ext>
                </a:extLst>
              </xdr:cNvPr>
              <xdr:cNvSpPr/>
            </xdr:nvSpPr>
            <xdr:spPr>
              <a:xfrm>
                <a:off x="7591425" y="577215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23" name="Oval 22">
                <a:extLst>
                  <a:ext uri="{FF2B5EF4-FFF2-40B4-BE49-F238E27FC236}">
                    <a16:creationId xmlns:a16="http://schemas.microsoft.com/office/drawing/2014/main" id="{44B97792-A538-4AC6-ABA0-E53CBDBBE522}"/>
                  </a:ext>
                </a:extLst>
              </xdr:cNvPr>
              <xdr:cNvSpPr/>
            </xdr:nvSpPr>
            <xdr:spPr>
              <a:xfrm>
                <a:off x="8258175" y="575310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24" name="Oval 23">
                <a:extLst>
                  <a:ext uri="{FF2B5EF4-FFF2-40B4-BE49-F238E27FC236}">
                    <a16:creationId xmlns:a16="http://schemas.microsoft.com/office/drawing/2014/main" id="{0FA2C5A9-B9D1-48FA-8FEC-001FB66808CF}"/>
                  </a:ext>
                </a:extLst>
              </xdr:cNvPr>
              <xdr:cNvSpPr/>
            </xdr:nvSpPr>
            <xdr:spPr>
              <a:xfrm>
                <a:off x="7924800" y="5762625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D3E6065-3B18-44C3-93D3-6679D2F3E7CD}"/>
                </a:ext>
              </a:extLst>
            </xdr:cNvPr>
            <xdr:cNvGrpSpPr/>
          </xdr:nvGrpSpPr>
          <xdr:grpSpPr>
            <a:xfrm>
              <a:off x="7591425" y="6067425"/>
              <a:ext cx="720750" cy="73050"/>
              <a:chOff x="7591425" y="5753100"/>
              <a:chExt cx="720750" cy="73050"/>
            </a:xfrm>
          </xdr:grpSpPr>
          <xdr:sp macro="" textlink="">
            <xdr:nvSpPr>
              <xdr:cNvPr id="28" name="Oval 27">
                <a:extLst>
                  <a:ext uri="{FF2B5EF4-FFF2-40B4-BE49-F238E27FC236}">
                    <a16:creationId xmlns:a16="http://schemas.microsoft.com/office/drawing/2014/main" id="{A6030DA3-7526-847C-049E-7D1C36779502}"/>
                  </a:ext>
                </a:extLst>
              </xdr:cNvPr>
              <xdr:cNvSpPr/>
            </xdr:nvSpPr>
            <xdr:spPr>
              <a:xfrm>
                <a:off x="7591425" y="577215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29" name="Oval 28">
                <a:extLst>
                  <a:ext uri="{FF2B5EF4-FFF2-40B4-BE49-F238E27FC236}">
                    <a16:creationId xmlns:a16="http://schemas.microsoft.com/office/drawing/2014/main" id="{15FA09FA-6F48-A535-84F2-303EB4442A33}"/>
                  </a:ext>
                </a:extLst>
              </xdr:cNvPr>
              <xdr:cNvSpPr/>
            </xdr:nvSpPr>
            <xdr:spPr>
              <a:xfrm>
                <a:off x="8258175" y="575310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0" name="Oval 29">
                <a:extLst>
                  <a:ext uri="{FF2B5EF4-FFF2-40B4-BE49-F238E27FC236}">
                    <a16:creationId xmlns:a16="http://schemas.microsoft.com/office/drawing/2014/main" id="{CE01198C-8A73-7763-0C8A-660384FD304B}"/>
                  </a:ext>
                </a:extLst>
              </xdr:cNvPr>
              <xdr:cNvSpPr/>
            </xdr:nvSpPr>
            <xdr:spPr>
              <a:xfrm>
                <a:off x="7924800" y="5762625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C2174492-9BEA-4CF4-B01E-02BC7BD18CB9}"/>
                </a:ext>
              </a:extLst>
            </xdr:cNvPr>
            <xdr:cNvGrpSpPr/>
          </xdr:nvGrpSpPr>
          <xdr:grpSpPr>
            <a:xfrm>
              <a:off x="7591425" y="6381750"/>
              <a:ext cx="720750" cy="73050"/>
              <a:chOff x="7591425" y="5753100"/>
              <a:chExt cx="720750" cy="73050"/>
            </a:xfrm>
          </xdr:grpSpPr>
          <xdr:sp macro="" textlink="">
            <xdr:nvSpPr>
              <xdr:cNvPr id="32" name="Oval 31">
                <a:extLst>
                  <a:ext uri="{FF2B5EF4-FFF2-40B4-BE49-F238E27FC236}">
                    <a16:creationId xmlns:a16="http://schemas.microsoft.com/office/drawing/2014/main" id="{C0F79FDD-40C0-FE53-7581-2E4D2DCD88F9}"/>
                  </a:ext>
                </a:extLst>
              </xdr:cNvPr>
              <xdr:cNvSpPr/>
            </xdr:nvSpPr>
            <xdr:spPr>
              <a:xfrm>
                <a:off x="7591425" y="577215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3" name="Oval 32">
                <a:extLst>
                  <a:ext uri="{FF2B5EF4-FFF2-40B4-BE49-F238E27FC236}">
                    <a16:creationId xmlns:a16="http://schemas.microsoft.com/office/drawing/2014/main" id="{CD5790B8-C9A9-5813-E731-45C737BBF9D9}"/>
                  </a:ext>
                </a:extLst>
              </xdr:cNvPr>
              <xdr:cNvSpPr/>
            </xdr:nvSpPr>
            <xdr:spPr>
              <a:xfrm>
                <a:off x="8258175" y="5753100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4" name="Oval 33">
                <a:extLst>
                  <a:ext uri="{FF2B5EF4-FFF2-40B4-BE49-F238E27FC236}">
                    <a16:creationId xmlns:a16="http://schemas.microsoft.com/office/drawing/2014/main" id="{F6FC61E4-E3DC-2580-DCDE-D85F5AB93456}"/>
                  </a:ext>
                </a:extLst>
              </xdr:cNvPr>
              <xdr:cNvSpPr/>
            </xdr:nvSpPr>
            <xdr:spPr>
              <a:xfrm>
                <a:off x="7924800" y="5762625"/>
                <a:ext cx="54000" cy="54000"/>
              </a:xfrm>
              <a:prstGeom prst="ellipse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</xdr:grpSp>
    </xdr:grpSp>
    <xdr:clientData/>
  </xdr:twoCellAnchor>
  <xdr:oneCellAnchor>
    <xdr:from>
      <xdr:col>5</xdr:col>
      <xdr:colOff>1219200</xdr:colOff>
      <xdr:row>26</xdr:row>
      <xdr:rowOff>28575</xdr:rowOff>
    </xdr:from>
    <xdr:ext cx="25616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073A107-7F93-3789-783C-BA4444C58258}"/>
            </a:ext>
          </a:extLst>
        </xdr:cNvPr>
        <xdr:cNvSpPr txBox="1"/>
      </xdr:nvSpPr>
      <xdr:spPr>
        <a:xfrm>
          <a:off x="7172325" y="53149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1</a:t>
          </a:r>
        </a:p>
      </xdr:txBody>
    </xdr:sp>
    <xdr:clientData/>
  </xdr:oneCellAnchor>
  <xdr:oneCellAnchor>
    <xdr:from>
      <xdr:col>5</xdr:col>
      <xdr:colOff>1571625</xdr:colOff>
      <xdr:row>26</xdr:row>
      <xdr:rowOff>9525</xdr:rowOff>
    </xdr:from>
    <xdr:ext cx="25616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F84011C-95F8-4C49-A3B2-843623022ED3}"/>
            </a:ext>
          </a:extLst>
        </xdr:cNvPr>
        <xdr:cNvSpPr txBox="1"/>
      </xdr:nvSpPr>
      <xdr:spPr>
        <a:xfrm>
          <a:off x="7524750" y="52959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2</a:t>
          </a:r>
        </a:p>
      </xdr:txBody>
    </xdr:sp>
    <xdr:clientData/>
  </xdr:oneCellAnchor>
  <xdr:oneCellAnchor>
    <xdr:from>
      <xdr:col>6</xdr:col>
      <xdr:colOff>304800</xdr:colOff>
      <xdr:row>26</xdr:row>
      <xdr:rowOff>0</xdr:rowOff>
    </xdr:from>
    <xdr:ext cx="25616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A2C4787-C14A-405D-A4F8-20583B318A45}"/>
            </a:ext>
          </a:extLst>
        </xdr:cNvPr>
        <xdr:cNvSpPr txBox="1"/>
      </xdr:nvSpPr>
      <xdr:spPr>
        <a:xfrm>
          <a:off x="7858125" y="52863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3</a:t>
          </a:r>
        </a:p>
      </xdr:txBody>
    </xdr:sp>
    <xdr:clientData/>
  </xdr:oneCellAnchor>
  <xdr:oneCellAnchor>
    <xdr:from>
      <xdr:col>5</xdr:col>
      <xdr:colOff>1219200</xdr:colOff>
      <xdr:row>27</xdr:row>
      <xdr:rowOff>152400</xdr:rowOff>
    </xdr:from>
    <xdr:ext cx="25616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107C09-56BB-4B89-8CCF-11FCBF86620B}"/>
            </a:ext>
          </a:extLst>
        </xdr:cNvPr>
        <xdr:cNvSpPr txBox="1"/>
      </xdr:nvSpPr>
      <xdr:spPr>
        <a:xfrm>
          <a:off x="7172325" y="56292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4</a:t>
          </a:r>
        </a:p>
      </xdr:txBody>
    </xdr:sp>
    <xdr:clientData/>
  </xdr:oneCellAnchor>
  <xdr:oneCellAnchor>
    <xdr:from>
      <xdr:col>5</xdr:col>
      <xdr:colOff>1562100</xdr:colOff>
      <xdr:row>27</xdr:row>
      <xdr:rowOff>161925</xdr:rowOff>
    </xdr:from>
    <xdr:ext cx="25616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626C0C2-337B-4B69-BC4F-680BEF77178A}"/>
            </a:ext>
          </a:extLst>
        </xdr:cNvPr>
        <xdr:cNvSpPr txBox="1"/>
      </xdr:nvSpPr>
      <xdr:spPr>
        <a:xfrm>
          <a:off x="7515225" y="56388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5</a:t>
          </a:r>
        </a:p>
      </xdr:txBody>
    </xdr:sp>
    <xdr:clientData/>
  </xdr:oneCellAnchor>
  <xdr:oneCellAnchor>
    <xdr:from>
      <xdr:col>6</xdr:col>
      <xdr:colOff>314325</xdr:colOff>
      <xdr:row>27</xdr:row>
      <xdr:rowOff>142875</xdr:rowOff>
    </xdr:from>
    <xdr:ext cx="25616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98801D2-F4E6-48FA-8205-4456E827E949}"/>
            </a:ext>
          </a:extLst>
        </xdr:cNvPr>
        <xdr:cNvSpPr txBox="1"/>
      </xdr:nvSpPr>
      <xdr:spPr>
        <a:xfrm>
          <a:off x="7867650" y="56197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6</a:t>
          </a:r>
        </a:p>
      </xdr:txBody>
    </xdr:sp>
    <xdr:clientData/>
  </xdr:oneCellAnchor>
  <xdr:oneCellAnchor>
    <xdr:from>
      <xdr:col>5</xdr:col>
      <xdr:colOff>1238250</xdr:colOff>
      <xdr:row>29</xdr:row>
      <xdr:rowOff>123825</xdr:rowOff>
    </xdr:from>
    <xdr:ext cx="25616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241632-3869-469E-AA14-4B0BE53F46D2}"/>
            </a:ext>
          </a:extLst>
        </xdr:cNvPr>
        <xdr:cNvSpPr txBox="1"/>
      </xdr:nvSpPr>
      <xdr:spPr>
        <a:xfrm>
          <a:off x="7191375" y="5981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7</a:t>
          </a:r>
        </a:p>
      </xdr:txBody>
    </xdr:sp>
    <xdr:clientData/>
  </xdr:oneCellAnchor>
  <xdr:oneCellAnchor>
    <xdr:from>
      <xdr:col>5</xdr:col>
      <xdr:colOff>1571625</xdr:colOff>
      <xdr:row>29</xdr:row>
      <xdr:rowOff>104775</xdr:rowOff>
    </xdr:from>
    <xdr:ext cx="25616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AF2E9A-D9DB-41C9-AA02-13533A7C5CE2}"/>
            </a:ext>
          </a:extLst>
        </xdr:cNvPr>
        <xdr:cNvSpPr txBox="1"/>
      </xdr:nvSpPr>
      <xdr:spPr>
        <a:xfrm>
          <a:off x="7524750" y="59626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8</a:t>
          </a:r>
        </a:p>
      </xdr:txBody>
    </xdr:sp>
    <xdr:clientData/>
  </xdr:oneCellAnchor>
  <xdr:oneCellAnchor>
    <xdr:from>
      <xdr:col>6</xdr:col>
      <xdr:colOff>304800</xdr:colOff>
      <xdr:row>29</xdr:row>
      <xdr:rowOff>85725</xdr:rowOff>
    </xdr:from>
    <xdr:ext cx="25616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2EB1793-2F45-4775-8573-35512738A1A1}"/>
            </a:ext>
          </a:extLst>
        </xdr:cNvPr>
        <xdr:cNvSpPr txBox="1"/>
      </xdr:nvSpPr>
      <xdr:spPr>
        <a:xfrm>
          <a:off x="7858125" y="59436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9</a:t>
          </a:r>
        </a:p>
      </xdr:txBody>
    </xdr:sp>
    <xdr:clientData/>
  </xdr:oneCellAnchor>
  <xdr:oneCellAnchor>
    <xdr:from>
      <xdr:col>6</xdr:col>
      <xdr:colOff>228599</xdr:colOff>
      <xdr:row>2</xdr:row>
      <xdr:rowOff>38100</xdr:rowOff>
    </xdr:from>
    <xdr:ext cx="8460000" cy="147014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8663319-B7B0-4CE2-A31B-768E91429E67}"/>
            </a:ext>
          </a:extLst>
        </xdr:cNvPr>
        <xdr:cNvSpPr txBox="1"/>
      </xdr:nvSpPr>
      <xdr:spPr>
        <a:xfrm>
          <a:off x="7772399" y="561975"/>
          <a:ext cx="8460000" cy="147014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Check</a:t>
          </a:r>
          <a:r>
            <a:rPr lang="en-GB" sz="1100" baseline="0"/>
            <a:t> the distance between the rods in cell B13, it should be 120 mm</a:t>
          </a:r>
        </a:p>
        <a:p>
          <a:r>
            <a:rPr lang="en-GB" sz="1100" baseline="0"/>
            <a:t>2.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Analysis_Results\Geometric_Linearity_and_Distortion\</a:t>
          </a:r>
          <a:r>
            <a:rPr lang="en-GB" sz="1100" baseline="0"/>
            <a:t>BC_TRA_GEOMETRIC_LINEARITY_DISTORTION.csv into cells B17:B22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the values from Analysis_Results\Geometric_Linearity_and_Distortion\BC_SAG_GEOMETRIC_LINEARITY_DISTORTION.csv into cells E17:E22</a:t>
          </a:r>
          <a:endParaRPr lang="en-GB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Copy the values from Analysis_Results\Geometric_Linearity_and_Distortion\BC_COR_GEOMETRIC_LINEARITY_DISTORTION.csv into cells F17:F22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Copy Analysis_Results\Geometric_Linearity_and_Distortion\BC_TRA_GEOMETRIC_LINEARITY_AND_DISTORTION_LINES.png over cell A38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Copy Analysis_Results\Geometric_Linearity_and_Distortion\BC_SAG_GEOMETRIC_LINEARITY_AND_DISTORTION_LINES.png over cell D38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Copy Analysis_Results\Geometric_Linearity_and_Distortion\BC_COR_GEOMETRIC_LINEARITY_AND_DISTORTION_LINES.png over cell H38</a:t>
          </a:r>
          <a:endParaRPr lang="en-GB">
            <a:effectLst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292101</xdr:colOff>
      <xdr:row>6</xdr:row>
      <xdr:rowOff>50800</xdr:rowOff>
    </xdr:from>
    <xdr:ext cx="4597400" cy="953466"/>
    <xdr:sp macro="" textlink="">
      <xdr:nvSpPr>
        <xdr:cNvPr id="71" name="TextBox 13">
          <a:extLst>
            <a:ext uri="{FF2B5EF4-FFF2-40B4-BE49-F238E27FC236}">
              <a16:creationId xmlns:a16="http://schemas.microsoft.com/office/drawing/2014/main" id="{DDC5AAF1-A7D2-2F47-A538-AD090DB872C4}"/>
            </a:ext>
          </a:extLst>
        </xdr:cNvPr>
        <xdr:cNvSpPr txBox="1"/>
      </xdr:nvSpPr>
      <xdr:spPr>
        <a:xfrm>
          <a:off x="4549776" y="1336675"/>
          <a:ext cx="4597400" cy="95346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Enter the frequency encode matrix size into cell B8</a:t>
          </a:r>
          <a:endParaRPr lang="en-GB">
            <a:effectLst/>
          </a:endParaRP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Enter the field-of-view into cell B9</a:t>
          </a:r>
          <a:endParaRPr lang="en-GB">
            <a:effectLst/>
          </a:endParaRPr>
        </a:p>
        <a:p>
          <a:pPr eaLnBrk="1" fontAlgn="auto" latinLnBrk="0" hangingPunct="1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Follow the instructions included in sheets "Tra Slice Width", "Sag Slice Width" and " Cor Slice Width"</a:t>
          </a:r>
          <a:endParaRPr lang="en-GB">
            <a:effectLst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574674</xdr:colOff>
      <xdr:row>9</xdr:row>
      <xdr:rowOff>188911</xdr:rowOff>
    </xdr:from>
    <xdr:to>
      <xdr:col>12</xdr:col>
      <xdr:colOff>484874</xdr:colOff>
      <xdr:row>32</xdr:row>
      <xdr:rowOff>136936</xdr:rowOff>
    </xdr:to>
    <xdr:graphicFrame macro="">
      <xdr:nvGraphicFramePr>
        <xdr:cNvPr id="332" name="Chart 1">
          <a:extLst>
            <a:ext uri="{FF2B5EF4-FFF2-40B4-BE49-F238E27FC236}">
              <a16:creationId xmlns:a16="http://schemas.microsoft.com/office/drawing/2014/main" id="{45CA5080-3842-445F-A28F-3269A01AB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577850</xdr:colOff>
      <xdr:row>33</xdr:row>
      <xdr:rowOff>114299</xdr:rowOff>
    </xdr:from>
    <xdr:to>
      <xdr:col>12</xdr:col>
      <xdr:colOff>488050</xdr:colOff>
      <xdr:row>56</xdr:row>
      <xdr:rowOff>52799</xdr:rowOff>
    </xdr:to>
    <xdr:graphicFrame macro="">
      <xdr:nvGraphicFramePr>
        <xdr:cNvPr id="333" name="Chart 2">
          <a:extLst>
            <a:ext uri="{FF2B5EF4-FFF2-40B4-BE49-F238E27FC236}">
              <a16:creationId xmlns:a16="http://schemas.microsoft.com/office/drawing/2014/main" id="{B6E453FE-AD07-4165-8277-9468766DE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317500</xdr:colOff>
      <xdr:row>0</xdr:row>
      <xdr:rowOff>139701</xdr:rowOff>
    </xdr:from>
    <xdr:ext cx="6642100" cy="1546224"/>
    <xdr:sp macro="" textlink="">
      <xdr:nvSpPr>
        <xdr:cNvPr id="331" name="TextBox 5">
          <a:extLst>
            <a:ext uri="{FF2B5EF4-FFF2-40B4-BE49-F238E27FC236}">
              <a16:creationId xmlns:a16="http://schemas.microsoft.com/office/drawing/2014/main" id="{BCCDFD40-E9E4-1645-8823-28D9A2DC8C7A}"/>
            </a:ext>
          </a:extLst>
        </xdr:cNvPr>
        <xdr:cNvSpPr txBox="1"/>
      </xdr:nvSpPr>
      <xdr:spPr>
        <a:xfrm>
          <a:off x="3908425" y="139701"/>
          <a:ext cx="6642100" cy="1546224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BC_TRA_SLICE_</a:t>
          </a:r>
          <a:r>
            <a:rPr lang="en-GB" sz="1100" baseline="0"/>
            <a:t>WIDTH_1.csv into cells B12:B131</a:t>
          </a:r>
        </a:p>
        <a:p>
          <a:r>
            <a:rPr lang="en-GB" sz="1100" baseline="0"/>
            <a:t>2. </a:t>
          </a:r>
          <a:r>
            <a:rPr lang="en-GB" sz="1100"/>
            <a:t>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BC_TRA_SLICE_</a:t>
          </a:r>
          <a:r>
            <a:rPr lang="en-GB" sz="1100" baseline="0"/>
            <a:t>WIDTH_2.csv into cells C12:C131</a:t>
          </a:r>
        </a:p>
        <a:p>
          <a:r>
            <a:rPr lang="en-GB" sz="1100" baseline="0"/>
            <a:t>3. Check the Baseline shown in the Profile 1 chart. If necessary adjust the position, using the offset in cell B2</a:t>
          </a:r>
        </a:p>
        <a:p>
          <a:r>
            <a:rPr lang="en-GB" sz="1100" baseline="0"/>
            <a:t>4. Check the Minimum shown in the Profile 1 chart . If necessary adjust the position, using the offset in cell B3</a:t>
          </a:r>
        </a:p>
        <a:p>
          <a:r>
            <a:rPr lang="en-GB" sz="1100" baseline="0"/>
            <a:t>5. Check the Baseline shown in the Profile 2 chart. If necessary adjust the position, using the offset in cell B4</a:t>
          </a:r>
        </a:p>
        <a:p>
          <a:r>
            <a:rPr lang="en-GB" sz="1100" baseline="0"/>
            <a:t>6. Check the Minimum shown in the Profile 2 chart . If necessary adjust the position, using the offset in cell B5</a:t>
          </a:r>
        </a:p>
        <a:p>
          <a:r>
            <a:rPr lang="en-GB" sz="1100"/>
            <a:t>7.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Analysis_Results\Slice_Width\BC_TRA_SLICE_WIDTH_ROIs.png over cell N11</a:t>
          </a:r>
          <a:endParaRPr lang="en-GB" sz="1100"/>
        </a:p>
        <a:p>
          <a:r>
            <a:rPr lang="en-GB" sz="1100"/>
            <a:t> </a:t>
          </a:r>
          <a:endParaRPr lang="en-GB">
            <a:effectLst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574674</xdr:colOff>
      <xdr:row>9</xdr:row>
      <xdr:rowOff>188911</xdr:rowOff>
    </xdr:from>
    <xdr:to>
      <xdr:col>12</xdr:col>
      <xdr:colOff>484874</xdr:colOff>
      <xdr:row>32</xdr:row>
      <xdr:rowOff>136936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365B134F-E9B4-B348-AA6A-54F27CC5B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577850</xdr:colOff>
      <xdr:row>33</xdr:row>
      <xdr:rowOff>114299</xdr:rowOff>
    </xdr:from>
    <xdr:to>
      <xdr:col>12</xdr:col>
      <xdr:colOff>488050</xdr:colOff>
      <xdr:row>56</xdr:row>
      <xdr:rowOff>52799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E6A47E71-95E1-744F-9DC7-3EF42CAF5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317500</xdr:colOff>
      <xdr:row>0</xdr:row>
      <xdr:rowOff>139700</xdr:rowOff>
    </xdr:from>
    <xdr:ext cx="6642100" cy="1555749"/>
    <xdr:sp macro="" textlink="">
      <xdr:nvSpPr>
        <xdr:cNvPr id="32" name="TextBox 3">
          <a:extLst>
            <a:ext uri="{FF2B5EF4-FFF2-40B4-BE49-F238E27FC236}">
              <a16:creationId xmlns:a16="http://schemas.microsoft.com/office/drawing/2014/main" id="{1C12EC40-A503-B048-A8F5-DD7FF04C7630}"/>
            </a:ext>
          </a:extLst>
        </xdr:cNvPr>
        <xdr:cNvSpPr txBox="1"/>
      </xdr:nvSpPr>
      <xdr:spPr>
        <a:xfrm>
          <a:off x="3908425" y="139700"/>
          <a:ext cx="6642100" cy="155574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BC_SAG_SLICE_</a:t>
          </a:r>
          <a:r>
            <a:rPr lang="en-GB" sz="1100" baseline="0"/>
            <a:t>WIDTH_1.csv into cells B12:B131</a:t>
          </a:r>
        </a:p>
        <a:p>
          <a:r>
            <a:rPr lang="en-GB" sz="1100" baseline="0"/>
            <a:t>2. </a:t>
          </a:r>
          <a:r>
            <a:rPr lang="en-GB" sz="1100"/>
            <a:t>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BC_SAG_SLICE_</a:t>
          </a:r>
          <a:r>
            <a:rPr lang="en-GB" sz="1100" baseline="0"/>
            <a:t>WIDTH_2.csv into cells C12:C131</a:t>
          </a:r>
        </a:p>
        <a:p>
          <a:r>
            <a:rPr lang="en-GB" sz="1100" baseline="0"/>
            <a:t>3. Check the Baseline shown in the Profile 1 chart. If necessary adjust the position, using the offset in cell B2</a:t>
          </a:r>
        </a:p>
        <a:p>
          <a:r>
            <a:rPr lang="en-GB" sz="1100" baseline="0"/>
            <a:t>4. Check the Minimum shown in the Profile 1 chart . If necessary adjust the position, using the offset in cell B3</a:t>
          </a:r>
        </a:p>
        <a:p>
          <a:r>
            <a:rPr lang="en-GB" sz="1100" baseline="0"/>
            <a:t>5. Check the Baseline shown in the Profile 2 chart. If necessary adjust the position, using the offset in cell B4</a:t>
          </a:r>
        </a:p>
        <a:p>
          <a:r>
            <a:rPr lang="en-GB" sz="1100" baseline="0"/>
            <a:t>6. Check the Minimum shown in the Profile 2 chart . If necessary adjust the position, using the offset in cell B5</a:t>
          </a:r>
        </a:p>
        <a:p>
          <a:r>
            <a:rPr lang="en-GB" sz="1100"/>
            <a:t>7.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Analysis_Results\Slice_Width\BC_SAG_SLICE_WIDTH_ROIs.png over cell N11</a:t>
          </a:r>
          <a:endParaRPr lang="en-GB" sz="1100"/>
        </a:p>
        <a:p>
          <a:r>
            <a:rPr lang="en-GB" sz="1100"/>
            <a:t> </a:t>
          </a:r>
          <a:endParaRPr lang="en-GB">
            <a:effectLst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574674</xdr:colOff>
      <xdr:row>9</xdr:row>
      <xdr:rowOff>188911</xdr:rowOff>
    </xdr:from>
    <xdr:to>
      <xdr:col>12</xdr:col>
      <xdr:colOff>484874</xdr:colOff>
      <xdr:row>32</xdr:row>
      <xdr:rowOff>136936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32DED342-44B6-0643-9536-1DBAAE5F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577850</xdr:colOff>
      <xdr:row>33</xdr:row>
      <xdr:rowOff>114299</xdr:rowOff>
    </xdr:from>
    <xdr:to>
      <xdr:col>12</xdr:col>
      <xdr:colOff>488050</xdr:colOff>
      <xdr:row>56</xdr:row>
      <xdr:rowOff>52799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34ECB62B-0882-EE44-BC38-E728B0E0C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317500</xdr:colOff>
      <xdr:row>0</xdr:row>
      <xdr:rowOff>139701</xdr:rowOff>
    </xdr:from>
    <xdr:ext cx="6642100" cy="1508124"/>
    <xdr:sp macro="" textlink="">
      <xdr:nvSpPr>
        <xdr:cNvPr id="32" name="TextBox 3">
          <a:extLst>
            <a:ext uri="{FF2B5EF4-FFF2-40B4-BE49-F238E27FC236}">
              <a16:creationId xmlns:a16="http://schemas.microsoft.com/office/drawing/2014/main" id="{4C90F357-AF02-BD4A-9915-29F607AFA7D3}"/>
            </a:ext>
          </a:extLst>
        </xdr:cNvPr>
        <xdr:cNvSpPr txBox="1"/>
      </xdr:nvSpPr>
      <xdr:spPr>
        <a:xfrm>
          <a:off x="3908425" y="139701"/>
          <a:ext cx="6642100" cy="1508124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/>
            <a:t>1.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BC_COR_SLICE_</a:t>
          </a:r>
          <a:r>
            <a:rPr lang="en-GB" sz="1100" baseline="0"/>
            <a:t>WIDTH_1.csv into cells B12:B131</a:t>
          </a:r>
        </a:p>
        <a:p>
          <a:r>
            <a:rPr lang="en-GB" sz="1100" baseline="0"/>
            <a:t>2. </a:t>
          </a:r>
          <a:r>
            <a:rPr lang="en-GB" sz="1100"/>
            <a:t>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/>
            <a:t>BC_COR_SLICE_</a:t>
          </a:r>
          <a:r>
            <a:rPr lang="en-GB" sz="1100" baseline="0"/>
            <a:t>WIDTH_2.csv into cells C12:C131</a:t>
          </a:r>
        </a:p>
        <a:p>
          <a:r>
            <a:rPr lang="en-GB" sz="1100" baseline="0"/>
            <a:t>3. Check the Baseline shown in the Profile 1 chart. If necessary adjust the position, using the offset in cell B2</a:t>
          </a:r>
        </a:p>
        <a:p>
          <a:r>
            <a:rPr lang="en-GB" sz="1100" baseline="0"/>
            <a:t>4. Check the Minimum shown in the Profile 1 chart . If necessary adjust the position, using the offset in cell B3</a:t>
          </a:r>
        </a:p>
        <a:p>
          <a:r>
            <a:rPr lang="en-GB" sz="1100" baseline="0"/>
            <a:t>5. Check the Baseline shown in the Profile 2 chart. If necessary adjust the position, using the offset in cell B4</a:t>
          </a:r>
        </a:p>
        <a:p>
          <a:r>
            <a:rPr lang="en-GB" sz="1100" baseline="0"/>
            <a:t>6. Check the Minimum shown in the Profile 2 chart . If necessary adjust the position, using the offset in cell B5</a:t>
          </a:r>
        </a:p>
        <a:p>
          <a:r>
            <a:rPr lang="en-GB" sz="1100" baseline="0"/>
            <a:t>7. Copy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Analysis_Results\Slice_Width\</a:t>
          </a:r>
          <a:r>
            <a:rPr lang="en-GB" sz="1100" baseline="0"/>
            <a:t>BC_COR_SLICE_WIDTH_ROIs.png over cell N11</a:t>
          </a:r>
        </a:p>
        <a:p>
          <a:endParaRPr lang="en-GB" sz="1100"/>
        </a:p>
        <a:p>
          <a:r>
            <a:rPr lang="en-GB" sz="1100"/>
            <a:t> </a:t>
          </a:r>
          <a:endParaRPr lang="en-GB">
            <a:effectLst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1123950</xdr:colOff>
      <xdr:row>1</xdr:row>
      <xdr:rowOff>23811</xdr:rowOff>
    </xdr:from>
    <xdr:to>
      <xdr:col>11</xdr:col>
      <xdr:colOff>276225</xdr:colOff>
      <xdr:row>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960778-8D8B-A5E2-2D70-1446572D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161923</xdr:colOff>
      <xdr:row>5</xdr:row>
      <xdr:rowOff>9525</xdr:rowOff>
    </xdr:from>
    <xdr:ext cx="6115051" cy="112569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701360-FE6B-49F9-BCA3-3489E48F4893}"/>
            </a:ext>
          </a:extLst>
        </xdr:cNvPr>
        <xdr:cNvSpPr txBox="1"/>
      </xdr:nvSpPr>
      <xdr:spPr>
        <a:xfrm>
          <a:off x="3267073" y="1104900"/>
          <a:ext cx="6115051" cy="1125693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 baseline="0"/>
            <a:t>1. Enter the slice thickness into cell B7</a:t>
          </a:r>
        </a:p>
        <a:p>
          <a:r>
            <a:rPr lang="en-GB" sz="1100" baseline="0"/>
            <a:t>2. Enter the slice gap in cell B8</a:t>
          </a:r>
        </a:p>
        <a:p>
          <a:r>
            <a:rPr lang="en-GB" sz="1100" baseline="0"/>
            <a:t>3.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Analysis_Results\Slice_Position\</a:t>
          </a:r>
          <a:r>
            <a:rPr lang="en-GB" sz="1100" baseline="0"/>
            <a:t>BC_TRA_SLICE_POSITION.csv into cells B17:C43</a:t>
          </a:r>
        </a:p>
        <a:p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Copy from Analysis_Results\Slice_PositionBC_TRA_SLICE_POSITION_LINES.png over cell N3</a:t>
          </a:r>
        </a:p>
        <a:p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Copy the Slice Position Error chart into the report</a:t>
          </a:r>
          <a:endParaRPr lang="en-GB">
            <a:effectLst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795337</xdr:colOff>
      <xdr:row>9</xdr:row>
      <xdr:rowOff>185737</xdr:rowOff>
    </xdr:from>
    <xdr:to>
      <xdr:col>13</xdr:col>
      <xdr:colOff>592462</xdr:colOff>
      <xdr:row>25</xdr:row>
      <xdr:rowOff>17737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289D0-8F21-A91A-E03B-988C9BF99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795337</xdr:colOff>
      <xdr:row>25</xdr:row>
      <xdr:rowOff>185737</xdr:rowOff>
    </xdr:from>
    <xdr:to>
      <xdr:col>13</xdr:col>
      <xdr:colOff>590550</xdr:colOff>
      <xdr:row>41</xdr:row>
      <xdr:rowOff>17737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0F1B2D2-DC4E-9277-91BA-79D47BEC4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4212" y="5091112"/>
              <a:ext cx="7500938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5</xdr:col>
      <xdr:colOff>257174</xdr:colOff>
      <xdr:row>2</xdr:row>
      <xdr:rowOff>19050</xdr:rowOff>
    </xdr:from>
    <xdr:ext cx="6162676" cy="78124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557693-7E31-425F-8F6B-85F45451BC8F}"/>
            </a:ext>
          </a:extLst>
        </xdr:cNvPr>
        <xdr:cNvSpPr txBox="1"/>
      </xdr:nvSpPr>
      <xdr:spPr>
        <a:xfrm>
          <a:off x="5086349" y="542925"/>
          <a:ext cx="6162676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  <a:endParaRPr lang="en-GB" sz="1100"/>
        </a:p>
        <a:p>
          <a:r>
            <a:rPr lang="en-GB" sz="1100" baseline="0"/>
            <a:t>1. Copy the values from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 Analysis_Results\EPI_Stability\</a:t>
          </a:r>
          <a:r>
            <a:rPr lang="en-GB" sz="1100" baseline="0"/>
            <a:t>HC_TRA_EPI_STABILITY.csv into cells A12:A111</a:t>
          </a:r>
        </a:p>
        <a:p>
          <a:r>
            <a:rPr lang="en-GB" sz="1100" baseline="0">
              <a:effectLst/>
            </a:rPr>
            <a:t>2. Copy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Analysis_Results\EPI_Stability\</a:t>
          </a:r>
          <a:r>
            <a:rPr lang="en-GB" sz="1100" baseline="0">
              <a:effectLst/>
            </a:rPr>
            <a:t>HC_TRA_EPI_STABILITY_ROI.png over cell P11</a:t>
          </a:r>
        </a:p>
        <a:p>
          <a:r>
            <a:rPr lang="en-GB" sz="1100" baseline="0">
              <a:effectLst/>
            </a:rPr>
            <a:t>3. Copy the Slice Variation Over Time into the report</a:t>
          </a:r>
          <a:endParaRPr lang="en-GB">
            <a:effectLst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590550</xdr:colOff>
      <xdr:row>0</xdr:row>
      <xdr:rowOff>66675</xdr:rowOff>
    </xdr:from>
    <xdr:ext cx="4505325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A1AFD6-60B0-4708-8F92-50770F49C418}"/>
            </a:ext>
          </a:extLst>
        </xdr:cNvPr>
        <xdr:cNvSpPr txBox="1"/>
      </xdr:nvSpPr>
      <xdr:spPr>
        <a:xfrm>
          <a:off x="3695700" y="66675"/>
          <a:ext cx="4505325" cy="609013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Fill in the name of the system being tested and the year of test in cell B2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Copy the completed tables into the report.</a:t>
          </a:r>
          <a:endParaRPr lang="en-GB" sz="1100" baseline="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5</xdr:row>
      <xdr:rowOff>0</xdr:rowOff>
    </xdr:from>
    <xdr:to>
      <xdr:col>12</xdr:col>
      <xdr:colOff>340275</xdr:colOff>
      <xdr:row>17</xdr:row>
      <xdr:rowOff>111200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FBE7F0-201E-4052-B0B4-E60DE1247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466725</xdr:colOff>
      <xdr:row>5</xdr:row>
      <xdr:rowOff>9525</xdr:rowOff>
    </xdr:from>
    <xdr:to>
      <xdr:col>22</xdr:col>
      <xdr:colOff>130725</xdr:colOff>
      <xdr:row>17</xdr:row>
      <xdr:rowOff>120725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61C721-B17C-4881-A95C-236689027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</xdr:colOff>
      <xdr:row>18</xdr:row>
      <xdr:rowOff>38100</xdr:rowOff>
    </xdr:from>
    <xdr:to>
      <xdr:col>12</xdr:col>
      <xdr:colOff>340275</xdr:colOff>
      <xdr:row>30</xdr:row>
      <xdr:rowOff>149300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6A7CA6-D1EC-462B-B60D-7811C2370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466725</xdr:colOff>
      <xdr:row>18</xdr:row>
      <xdr:rowOff>38100</xdr:rowOff>
    </xdr:from>
    <xdr:to>
      <xdr:col>22</xdr:col>
      <xdr:colOff>130725</xdr:colOff>
      <xdr:row>30</xdr:row>
      <xdr:rowOff>149300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CBD6CF-2DF3-4D40-8D84-DF61F2E49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85725</xdr:colOff>
      <xdr:row>31</xdr:row>
      <xdr:rowOff>104775</xdr:rowOff>
    </xdr:from>
    <xdr:to>
      <xdr:col>12</xdr:col>
      <xdr:colOff>359325</xdr:colOff>
      <xdr:row>44</xdr:row>
      <xdr:rowOff>25475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F64784-B47A-49CC-96CA-C4B5E0D50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466725</xdr:colOff>
      <xdr:row>31</xdr:row>
      <xdr:rowOff>123825</xdr:rowOff>
    </xdr:from>
    <xdr:to>
      <xdr:col>22</xdr:col>
      <xdr:colOff>130725</xdr:colOff>
      <xdr:row>44</xdr:row>
      <xdr:rowOff>44525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2E6B7D-CACD-45D3-B25B-43E37F06D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85725</xdr:colOff>
      <xdr:row>44</xdr:row>
      <xdr:rowOff>123825</xdr:rowOff>
    </xdr:from>
    <xdr:to>
      <xdr:col>12</xdr:col>
      <xdr:colOff>359325</xdr:colOff>
      <xdr:row>57</xdr:row>
      <xdr:rowOff>44525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741DCE-46B5-48BB-9C14-1099D6E43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3</xdr:col>
      <xdr:colOff>47624</xdr:colOff>
      <xdr:row>0</xdr:row>
      <xdr:rowOff>47625</xdr:rowOff>
    </xdr:from>
    <xdr:ext cx="5838825" cy="78124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0C3FE8-CA5E-4985-BA4C-5C77093CD2A1}"/>
            </a:ext>
          </a:extLst>
        </xdr:cNvPr>
        <xdr:cNvSpPr txBox="1"/>
      </xdr:nvSpPr>
      <xdr:spPr>
        <a:xfrm>
          <a:off x="4676774" y="47625"/>
          <a:ext cx="5838825" cy="78124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1.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Fill in the name of the system being </a:t>
          </a:r>
          <a:r>
            <a:rPr lang="en-GB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 with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the </a:t>
          </a:r>
          <a:r>
            <a:rPr lang="en-GB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year of the comparison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test in cell B2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Fill the comparison values into cells B8, B12, B16, B20, B24, B28 and B32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Copy the completed Charts into the report.</a:t>
          </a:r>
          <a:endParaRPr lang="en-GB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8AC3-9131-4C1B-999B-E16E7602C9DE}">
  <dimension ref="A1:K73"/>
  <sheetViews>
    <sheetView workbookViewId="0">
      <selection activeCell="G28" sqref="G28"/>
    </sheetView>
  </sheetViews>
  <sheetFormatPr defaultColWidth="8.85546875" defaultRowHeight="15" x14ac:dyDescent="0.25"/>
  <cols>
    <col min="1" max="1" width="45.42578125" bestFit="1" customWidth="1"/>
    <col min="2" max="2" width="11.7109375" bestFit="1" customWidth="1"/>
    <col min="3" max="3" width="28.85546875" bestFit="1" customWidth="1"/>
    <col min="4" max="4" width="8.140625" bestFit="1" customWidth="1"/>
    <col min="5" max="5" width="18.7109375" bestFit="1" customWidth="1"/>
    <col min="6" max="6" width="12" bestFit="1" customWidth="1"/>
    <col min="7" max="7" width="28.85546875" bestFit="1" customWidth="1"/>
    <col min="9" max="9" width="18.7109375" bestFit="1" customWidth="1"/>
    <col min="10" max="10" width="11.7109375" bestFit="1" customWidth="1"/>
    <col min="11" max="11" width="28.85546875" bestFit="1" customWidth="1"/>
  </cols>
  <sheetData>
    <row r="1" spans="1:11" ht="26.25" x14ac:dyDescent="0.4">
      <c r="A1" s="18" t="s">
        <v>19</v>
      </c>
      <c r="B1" s="18"/>
      <c r="C1" s="18"/>
      <c r="D1" s="9"/>
      <c r="E1" s="9"/>
      <c r="F1" s="9"/>
      <c r="G1" s="9"/>
      <c r="H1" s="9"/>
      <c r="I1" s="9"/>
      <c r="J1" s="9"/>
      <c r="K1" s="9"/>
    </row>
    <row r="2" spans="1:1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9"/>
      <c r="B3" s="5" t="s">
        <v>23</v>
      </c>
      <c r="C3" s="5" t="s">
        <v>24</v>
      </c>
      <c r="D3" s="5" t="s">
        <v>25</v>
      </c>
      <c r="E3" s="5" t="s">
        <v>97</v>
      </c>
      <c r="F3" s="9"/>
      <c r="G3" s="9"/>
      <c r="H3" s="9"/>
      <c r="I3" s="9"/>
      <c r="J3" s="9"/>
      <c r="K3" s="9"/>
    </row>
    <row r="4" spans="1:11" x14ac:dyDescent="0.25">
      <c r="A4" s="17" t="s">
        <v>38</v>
      </c>
      <c r="B4" s="8" t="e">
        <f>SNR_tra_</f>
        <v>#DIV/0!</v>
      </c>
      <c r="C4" s="8" t="e">
        <f>SNR_sag_</f>
        <v>#DIV/0!</v>
      </c>
      <c r="D4" s="8" t="e">
        <f>SNR_cor_</f>
        <v>#DIV/0!</v>
      </c>
      <c r="E4" s="47" t="e">
        <f>AVERAGE(B4:D4)</f>
        <v>#DIV/0!</v>
      </c>
      <c r="F4" s="9"/>
      <c r="G4" s="9"/>
      <c r="H4" s="9"/>
      <c r="I4" s="9"/>
      <c r="J4" s="9"/>
      <c r="K4" s="9"/>
    </row>
    <row r="5" spans="1:11" x14ac:dyDescent="0.25">
      <c r="A5" s="17" t="s">
        <v>39</v>
      </c>
      <c r="B5" s="8" t="e">
        <f>BW_norm_*VS_corr_tra_*ST_corr_*CL_norm_*B4</f>
        <v>#DIV/0!</v>
      </c>
      <c r="C5" s="8" t="e">
        <f>BW_norm_*VS_corr_sag_*ST_corr_*CL_norm_*C4</f>
        <v>#DIV/0!</v>
      </c>
      <c r="D5" s="8" t="e">
        <f>BW_norm_*VS_corr_cor_*ST_corr_*CL_norm_*D4</f>
        <v>#DIV/0!</v>
      </c>
      <c r="E5" s="47" t="e">
        <f>AVERAGE(B5:D5)</f>
        <v>#DIV/0!</v>
      </c>
      <c r="F5" s="9"/>
      <c r="G5" s="9"/>
      <c r="H5" s="9"/>
      <c r="I5" s="9"/>
      <c r="J5" s="9"/>
      <c r="K5" s="9"/>
    </row>
    <row r="6" spans="1:1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5">
      <c r="A7" s="51" t="s">
        <v>16</v>
      </c>
      <c r="B7" s="51"/>
      <c r="C7" s="51"/>
      <c r="D7" s="9"/>
      <c r="E7" s="51" t="s">
        <v>17</v>
      </c>
      <c r="F7" s="51"/>
      <c r="G7" s="51"/>
      <c r="H7" s="9"/>
      <c r="I7" s="51" t="s">
        <v>18</v>
      </c>
      <c r="J7" s="51"/>
      <c r="K7" s="51"/>
    </row>
    <row r="8" spans="1:11" x14ac:dyDescent="0.25">
      <c r="A8" s="14" t="s">
        <v>0</v>
      </c>
      <c r="B8" s="14" t="s">
        <v>1</v>
      </c>
      <c r="C8" s="14" t="s">
        <v>2</v>
      </c>
      <c r="D8" s="9"/>
      <c r="E8" s="14" t="s">
        <v>0</v>
      </c>
      <c r="F8" s="14" t="s">
        <v>1</v>
      </c>
      <c r="G8" s="14" t="s">
        <v>2</v>
      </c>
      <c r="H8" s="9"/>
      <c r="I8" s="14" t="s">
        <v>0</v>
      </c>
      <c r="J8" s="14" t="s">
        <v>1</v>
      </c>
      <c r="K8" s="14" t="s">
        <v>2</v>
      </c>
    </row>
    <row r="9" spans="1:11" x14ac:dyDescent="0.25">
      <c r="A9" s="7">
        <v>1</v>
      </c>
      <c r="B9" s="6"/>
      <c r="C9" s="6"/>
      <c r="D9" s="9"/>
      <c r="E9" s="7">
        <v>1</v>
      </c>
      <c r="F9" s="6"/>
      <c r="G9" s="6"/>
      <c r="H9" s="9"/>
      <c r="I9" s="7">
        <v>1</v>
      </c>
      <c r="J9" s="6"/>
      <c r="K9" s="6"/>
    </row>
    <row r="10" spans="1:11" x14ac:dyDescent="0.25">
      <c r="A10" s="7">
        <v>2</v>
      </c>
      <c r="B10" s="6"/>
      <c r="C10" s="6"/>
      <c r="D10" s="9"/>
      <c r="E10" s="7">
        <v>2</v>
      </c>
      <c r="F10" s="6"/>
      <c r="G10" s="6"/>
      <c r="H10" s="9"/>
      <c r="I10" s="7">
        <v>2</v>
      </c>
      <c r="J10" s="6"/>
      <c r="K10" s="6"/>
    </row>
    <row r="11" spans="1:11" x14ac:dyDescent="0.25">
      <c r="A11" s="7">
        <v>3</v>
      </c>
      <c r="B11" s="6"/>
      <c r="C11" s="6"/>
      <c r="D11" s="9"/>
      <c r="E11" s="7">
        <v>3</v>
      </c>
      <c r="F11" s="6"/>
      <c r="G11" s="6"/>
      <c r="H11" s="9"/>
      <c r="I11" s="7">
        <v>3</v>
      </c>
      <c r="J11" s="6"/>
      <c r="K11" s="6"/>
    </row>
    <row r="12" spans="1:11" x14ac:dyDescent="0.25">
      <c r="A12" s="7">
        <v>4</v>
      </c>
      <c r="B12" s="6"/>
      <c r="C12" s="6"/>
      <c r="D12" s="9"/>
      <c r="E12" s="7">
        <v>4</v>
      </c>
      <c r="F12" s="6"/>
      <c r="G12" s="6"/>
      <c r="H12" s="9"/>
      <c r="I12" s="7">
        <v>4</v>
      </c>
      <c r="J12" s="6"/>
      <c r="K12" s="6"/>
    </row>
    <row r="13" spans="1:11" x14ac:dyDescent="0.25">
      <c r="A13" s="7">
        <v>5</v>
      </c>
      <c r="B13" s="6"/>
      <c r="C13" s="6"/>
      <c r="D13" s="9"/>
      <c r="E13" s="7">
        <v>5</v>
      </c>
      <c r="F13" s="6"/>
      <c r="G13" s="6"/>
      <c r="H13" s="9"/>
      <c r="I13" s="7">
        <v>5</v>
      </c>
      <c r="J13" s="6"/>
      <c r="K13" s="6"/>
    </row>
    <row r="14" spans="1:11" x14ac:dyDescent="0.25">
      <c r="A14" s="7" t="s">
        <v>38</v>
      </c>
      <c r="B14" s="8" t="e">
        <f>AVERAGE(B9:B13)*SQRT(2)/AVERAGE(C9:C13)</f>
        <v>#DIV/0!</v>
      </c>
      <c r="C14" s="9"/>
      <c r="D14" s="9"/>
      <c r="E14" s="7" t="s">
        <v>38</v>
      </c>
      <c r="F14" s="8" t="e">
        <f>AVERAGE(F9:F13)*SQRT(2)/AVERAGE(G9:G13)</f>
        <v>#DIV/0!</v>
      </c>
      <c r="G14" s="9"/>
      <c r="H14" s="9"/>
      <c r="I14" s="7" t="s">
        <v>38</v>
      </c>
      <c r="J14" s="8" t="e">
        <f>AVERAGE(J9:J13)*SQRT(2)/AVERAGE(K9:K13)</f>
        <v>#DIV/0!</v>
      </c>
      <c r="K14" s="9"/>
    </row>
    <row r="15" spans="1:11" x14ac:dyDescent="0.25">
      <c r="A15" s="12"/>
      <c r="B15" s="13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5" t="s">
        <v>10</v>
      </c>
      <c r="B16" s="5" t="s">
        <v>4</v>
      </c>
      <c r="C16" s="10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6" t="s">
        <v>5</v>
      </c>
      <c r="B17" s="6"/>
      <c r="C17" s="9"/>
      <c r="D17" s="9"/>
      <c r="E17" s="9"/>
      <c r="F17" s="9"/>
      <c r="G17" s="9"/>
      <c r="H17" s="9"/>
      <c r="I17" s="9" t="s">
        <v>162</v>
      </c>
      <c r="J17" s="9"/>
      <c r="K17" s="9"/>
    </row>
    <row r="18" spans="1:11" x14ac:dyDescent="0.25">
      <c r="A18" s="6" t="s">
        <v>6</v>
      </c>
      <c r="B18" s="6"/>
      <c r="C18" s="9"/>
      <c r="D18" s="10"/>
      <c r="E18" s="9"/>
      <c r="F18" s="9"/>
      <c r="G18" s="9"/>
      <c r="H18" s="9"/>
      <c r="I18" s="9"/>
      <c r="J18" s="9"/>
      <c r="K18" s="9"/>
    </row>
    <row r="19" spans="1:11" x14ac:dyDescent="0.25">
      <c r="A19" s="6" t="s">
        <v>7</v>
      </c>
      <c r="B19" s="6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6" t="s">
        <v>8</v>
      </c>
      <c r="B20" s="6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6" t="s">
        <v>9</v>
      </c>
      <c r="B21" s="6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6" t="s">
        <v>52</v>
      </c>
      <c r="B22" s="6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6" t="s">
        <v>28</v>
      </c>
      <c r="B23" s="6" t="s">
        <v>29</v>
      </c>
      <c r="C23" s="9"/>
      <c r="D23" s="9"/>
      <c r="F23" s="9"/>
      <c r="G23" s="9"/>
      <c r="H23" s="9"/>
      <c r="I23" s="9"/>
      <c r="J23" s="9"/>
      <c r="K23" s="9"/>
    </row>
    <row r="24" spans="1:11" x14ac:dyDescent="0.25">
      <c r="A24" s="6" t="s">
        <v>27</v>
      </c>
      <c r="B24" s="6">
        <v>1.5</v>
      </c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6" t="s">
        <v>40</v>
      </c>
      <c r="B25" s="6">
        <v>1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6" t="s">
        <v>41</v>
      </c>
      <c r="B26" s="6">
        <v>1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12"/>
      <c r="B27" s="13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5">
      <c r="A28" s="41" t="s">
        <v>12</v>
      </c>
      <c r="B28" s="41" t="s">
        <v>4</v>
      </c>
      <c r="C28" s="10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42" t="s">
        <v>30</v>
      </c>
      <c r="B29" s="42">
        <f>IF(Scanner_="GE",BW_scanner_,IF(Scanner_="Philips",0.5*(B0_*42.5*3.5/1000)*N_fe_/BW_scanner_,IF(Scanner_="Siemens", BW_scanner_*N_fe_/(2*1000),"Error: unrecognised scanner")))</f>
        <v>0</v>
      </c>
      <c r="C29" s="15"/>
      <c r="D29" s="9"/>
      <c r="E29" s="9"/>
      <c r="F29" s="9"/>
      <c r="G29" s="9"/>
      <c r="H29" s="9"/>
      <c r="I29" s="9"/>
      <c r="J29" s="9"/>
      <c r="K29" s="9"/>
    </row>
    <row r="30" spans="1:11" x14ac:dyDescent="0.25">
      <c r="A30" s="42" t="s">
        <v>13</v>
      </c>
      <c r="B30" s="43" t="e">
        <f>FOV_/N_fe_</f>
        <v>#DIV/0!</v>
      </c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25">
      <c r="A31" s="42" t="s">
        <v>14</v>
      </c>
      <c r="B31" s="43" t="e">
        <f>FOV_/N_pe_</f>
        <v>#DIV/0!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25">
      <c r="A32" s="42" t="s">
        <v>49</v>
      </c>
      <c r="B32" s="43">
        <f>'Slice Width'!B5</f>
        <v>0</v>
      </c>
      <c r="C32" s="9"/>
      <c r="D32" s="9"/>
      <c r="E32" s="9"/>
      <c r="F32" s="9"/>
      <c r="G32" s="9"/>
      <c r="H32" s="9"/>
      <c r="I32" s="9" t="s">
        <v>163</v>
      </c>
      <c r="J32" s="9"/>
      <c r="K32" s="9"/>
    </row>
    <row r="33" spans="1:11" x14ac:dyDescent="0.25">
      <c r="A33" s="42" t="s">
        <v>50</v>
      </c>
      <c r="B33" s="43">
        <f>'Slice Width'!C5</f>
        <v>0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42" t="s">
        <v>51</v>
      </c>
      <c r="B34" s="43">
        <f>'Slice Width'!D5</f>
        <v>0</v>
      </c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5">
      <c r="A36" s="41" t="s">
        <v>11</v>
      </c>
      <c r="B36" s="41" t="s">
        <v>4</v>
      </c>
      <c r="C36" s="10"/>
      <c r="D36" s="9"/>
      <c r="E36" s="9"/>
      <c r="F36" s="9"/>
      <c r="G36" s="9"/>
      <c r="H36" s="9"/>
      <c r="I36" s="9"/>
      <c r="J36" s="9"/>
      <c r="K36" s="9"/>
    </row>
    <row r="37" spans="1:11" x14ac:dyDescent="0.25">
      <c r="A37" s="42" t="s">
        <v>42</v>
      </c>
      <c r="B37" s="42">
        <v>30</v>
      </c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5">
      <c r="A39" s="41" t="s">
        <v>3</v>
      </c>
      <c r="B39" s="41" t="s">
        <v>4</v>
      </c>
      <c r="C39" s="10"/>
      <c r="D39" s="9"/>
      <c r="E39" s="9"/>
      <c r="F39" s="9"/>
      <c r="G39" s="9"/>
      <c r="H39" s="9"/>
      <c r="J39" s="9"/>
      <c r="K39" s="9"/>
    </row>
    <row r="40" spans="1:11" x14ac:dyDescent="0.25">
      <c r="A40" s="42" t="s">
        <v>44</v>
      </c>
      <c r="B40" s="42">
        <f>SQRT(BW_/BW_nominal_)</f>
        <v>0</v>
      </c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5">
      <c r="A41" s="42" t="s">
        <v>45</v>
      </c>
      <c r="B41" s="42" t="e">
        <f>1/((Dx_/10)*(Dy_/10)*(Dz_tra_/10))</f>
        <v>#DIV/0!</v>
      </c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5">
      <c r="A42" s="42" t="s">
        <v>46</v>
      </c>
      <c r="B42" s="42" t="e">
        <f>1/((Dx_/10)*(Dy_/10)*(Dz_sag_/10))</f>
        <v>#DIV/0!</v>
      </c>
      <c r="C42" s="9"/>
      <c r="D42" s="9"/>
      <c r="E42" s="9"/>
      <c r="F42" s="9"/>
      <c r="G42" s="9"/>
      <c r="H42" s="9"/>
      <c r="I42" s="9"/>
      <c r="J42" s="9"/>
      <c r="K42" s="9"/>
    </row>
    <row r="43" spans="1:11" x14ac:dyDescent="0.25">
      <c r="A43" s="42" t="s">
        <v>47</v>
      </c>
      <c r="B43" s="42" t="e">
        <f>1/((Dx_/10)*(Dy_/10)*(Dz_cor_/10))</f>
        <v>#DIV/0!</v>
      </c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25">
      <c r="A44" s="42" t="s">
        <v>48</v>
      </c>
      <c r="B44" s="42" t="e">
        <f>1/SQRT(N_pe_*(TR_/1000)*NSA_)</f>
        <v>#DIV/0!</v>
      </c>
      <c r="C44" s="9"/>
      <c r="D44" s="9"/>
      <c r="E44" s="9"/>
      <c r="F44" s="9"/>
      <c r="G44" s="9"/>
      <c r="H44" s="9"/>
      <c r="I44" s="9"/>
      <c r="J44" s="9"/>
      <c r="K44" s="9"/>
    </row>
    <row r="45" spans="1:11" x14ac:dyDescent="0.25">
      <c r="A45" s="42" t="s">
        <v>43</v>
      </c>
      <c r="B45" s="42">
        <f>SQRT(Q_head_/Q_test_object_)</f>
        <v>1</v>
      </c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25">
      <c r="A46" s="9"/>
    </row>
    <row r="47" spans="1:11" x14ac:dyDescent="0.25">
      <c r="I47" t="s">
        <v>170</v>
      </c>
    </row>
    <row r="48" spans="1:11" x14ac:dyDescent="0.25">
      <c r="G48" s="4"/>
    </row>
    <row r="71" spans="1:3" x14ac:dyDescent="0.25">
      <c r="A71" t="s">
        <v>20</v>
      </c>
      <c r="C71" t="e">
        <f>(BW_siemens_*N_fe_/2)/1000</f>
        <v>#NAME?</v>
      </c>
    </row>
    <row r="72" spans="1:3" x14ac:dyDescent="0.25">
      <c r="A72" t="s">
        <v>21</v>
      </c>
      <c r="C72" t="e" cm="1">
        <f t="array" ref="C72">BW</f>
        <v>#NAME?</v>
      </c>
    </row>
    <row r="73" spans="1:3" x14ac:dyDescent="0.25">
      <c r="A73" t="s">
        <v>22</v>
      </c>
    </row>
  </sheetData>
  <mergeCells count="3">
    <mergeCell ref="A7:C7"/>
    <mergeCell ref="E7:G7"/>
    <mergeCell ref="I7:K7"/>
  </mergeCells>
  <dataValidations count="2">
    <dataValidation type="list" allowBlank="1" showInputMessage="1" showErrorMessage="1" sqref="B23" xr:uid="{CB9807CB-4D39-47A0-A24C-9F662E91CDBD}">
      <formula1>"GE, Philips, Siemens"</formula1>
    </dataValidation>
    <dataValidation type="list" allowBlank="1" showInputMessage="1" showErrorMessage="1" sqref="B24" xr:uid="{B261B65D-907D-43CE-9940-CF5FCF7F8ADF}">
      <formula1>"1.5, 3"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367-83CE-4A2A-BA0B-BD4D2EE68BC8}">
  <dimension ref="A1:K73"/>
  <sheetViews>
    <sheetView workbookViewId="0">
      <selection activeCell="F30" sqref="F30"/>
    </sheetView>
  </sheetViews>
  <sheetFormatPr defaultColWidth="8.85546875" defaultRowHeight="15" x14ac:dyDescent="0.25"/>
  <cols>
    <col min="1" max="1" width="45.42578125" bestFit="1" customWidth="1"/>
    <col min="2" max="2" width="11.7109375" bestFit="1" customWidth="1"/>
    <col min="3" max="3" width="28.85546875" bestFit="1" customWidth="1"/>
    <col min="4" max="4" width="8.140625" bestFit="1" customWidth="1"/>
    <col min="5" max="5" width="18.7109375" bestFit="1" customWidth="1"/>
    <col min="6" max="6" width="12" bestFit="1" customWidth="1"/>
    <col min="7" max="7" width="28.85546875" bestFit="1" customWidth="1"/>
    <col min="9" max="9" width="18.7109375" bestFit="1" customWidth="1"/>
    <col min="10" max="10" width="11.7109375" bestFit="1" customWidth="1"/>
    <col min="11" max="11" width="28.85546875" bestFit="1" customWidth="1"/>
  </cols>
  <sheetData>
    <row r="1" spans="1:11" ht="26.25" x14ac:dyDescent="0.4">
      <c r="A1" s="18" t="s">
        <v>53</v>
      </c>
      <c r="B1" s="18"/>
      <c r="C1" s="18"/>
      <c r="D1" s="9"/>
      <c r="E1" s="9"/>
      <c r="F1" s="9"/>
      <c r="G1" s="9"/>
      <c r="H1" s="9"/>
      <c r="I1" s="9"/>
      <c r="J1" s="9"/>
      <c r="K1" s="9"/>
    </row>
    <row r="2" spans="1:1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9"/>
      <c r="B3" s="5" t="s">
        <v>23</v>
      </c>
      <c r="C3" s="5" t="s">
        <v>24</v>
      </c>
      <c r="D3" s="5" t="s">
        <v>25</v>
      </c>
      <c r="E3" s="5" t="s">
        <v>97</v>
      </c>
      <c r="F3" s="9"/>
      <c r="G3" s="9"/>
      <c r="H3" s="9"/>
      <c r="I3" s="9"/>
      <c r="J3" s="9"/>
      <c r="K3" s="9"/>
    </row>
    <row r="4" spans="1:11" x14ac:dyDescent="0.25">
      <c r="A4" s="17" t="s">
        <v>38</v>
      </c>
      <c r="B4" s="8" t="e">
        <f>SNR_tra_</f>
        <v>#DIV/0!</v>
      </c>
      <c r="C4" s="8" t="e">
        <f>SNR_sag_</f>
        <v>#DIV/0!</v>
      </c>
      <c r="D4" s="8" t="e">
        <f>SNR_cor_</f>
        <v>#DIV/0!</v>
      </c>
      <c r="E4" s="48" t="e">
        <f>AVERAGE(B4:D4)</f>
        <v>#DIV/0!</v>
      </c>
      <c r="F4" s="9"/>
      <c r="G4" s="9"/>
      <c r="H4" s="9"/>
      <c r="I4" s="9"/>
      <c r="J4" s="9"/>
      <c r="K4" s="9"/>
    </row>
    <row r="5" spans="1:11" x14ac:dyDescent="0.25">
      <c r="A5" s="17" t="s">
        <v>39</v>
      </c>
      <c r="B5" s="8" t="e">
        <f>BW_norm_*VS_corr_tra_*ST_corr_*CL_norm_*B4</f>
        <v>#DIV/0!</v>
      </c>
      <c r="C5" s="8" t="e">
        <f>BW_norm_*VS_corr_sag_*ST_corr_*CL_norm_*C4</f>
        <v>#DIV/0!</v>
      </c>
      <c r="D5" s="8" t="e">
        <f>BW_norm_*VS_corr_cor_*ST_corr_*CL_norm_*D4</f>
        <v>#DIV/0!</v>
      </c>
      <c r="E5" s="48" t="e">
        <f>AVERAGE(B5:D5)</f>
        <v>#DIV/0!</v>
      </c>
      <c r="F5" s="9"/>
      <c r="G5" s="9"/>
      <c r="H5" s="9"/>
      <c r="I5" s="9"/>
      <c r="J5" s="9"/>
      <c r="K5" s="9"/>
    </row>
    <row r="6" spans="1:1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5">
      <c r="A7" s="51" t="s">
        <v>16</v>
      </c>
      <c r="B7" s="51"/>
      <c r="C7" s="51"/>
      <c r="D7" s="9"/>
      <c r="E7" s="51" t="s">
        <v>17</v>
      </c>
      <c r="F7" s="51"/>
      <c r="G7" s="51"/>
      <c r="H7" s="9"/>
      <c r="I7" s="51" t="s">
        <v>18</v>
      </c>
      <c r="J7" s="51"/>
      <c r="K7" s="51"/>
    </row>
    <row r="8" spans="1:11" x14ac:dyDescent="0.25">
      <c r="A8" s="14" t="s">
        <v>0</v>
      </c>
      <c r="B8" s="14" t="s">
        <v>1</v>
      </c>
      <c r="C8" s="14" t="s">
        <v>2</v>
      </c>
      <c r="D8" s="9"/>
      <c r="E8" s="14" t="s">
        <v>0</v>
      </c>
      <c r="F8" s="14" t="s">
        <v>1</v>
      </c>
      <c r="G8" s="14" t="s">
        <v>2</v>
      </c>
      <c r="H8" s="9"/>
      <c r="I8" s="14" t="s">
        <v>0</v>
      </c>
      <c r="J8" s="14" t="s">
        <v>1</v>
      </c>
      <c r="K8" s="14" t="s">
        <v>2</v>
      </c>
    </row>
    <row r="9" spans="1:11" x14ac:dyDescent="0.25">
      <c r="A9" s="7">
        <v>1</v>
      </c>
      <c r="B9" s="6"/>
      <c r="C9" s="6"/>
      <c r="D9" s="9"/>
      <c r="E9" s="7">
        <v>1</v>
      </c>
      <c r="F9" s="6"/>
      <c r="G9" s="6"/>
      <c r="H9" s="9"/>
      <c r="I9" s="7">
        <v>1</v>
      </c>
      <c r="J9" s="6"/>
      <c r="K9" s="6"/>
    </row>
    <row r="10" spans="1:11" x14ac:dyDescent="0.25">
      <c r="A10" s="7">
        <v>2</v>
      </c>
      <c r="B10" s="6"/>
      <c r="C10" s="6"/>
      <c r="D10" s="9"/>
      <c r="E10" s="7">
        <v>2</v>
      </c>
      <c r="F10" s="6"/>
      <c r="G10" s="6"/>
      <c r="H10" s="9"/>
      <c r="I10" s="7">
        <v>2</v>
      </c>
      <c r="J10" s="6"/>
      <c r="K10" s="6"/>
    </row>
    <row r="11" spans="1:11" x14ac:dyDescent="0.25">
      <c r="A11" s="7">
        <v>3</v>
      </c>
      <c r="B11" s="6"/>
      <c r="C11" s="6"/>
      <c r="D11" s="9"/>
      <c r="E11" s="7">
        <v>3</v>
      </c>
      <c r="F11" s="6"/>
      <c r="G11" s="6"/>
      <c r="H11" s="9"/>
      <c r="I11" s="7">
        <v>3</v>
      </c>
      <c r="J11" s="6"/>
      <c r="K11" s="6"/>
    </row>
    <row r="12" spans="1:11" x14ac:dyDescent="0.25">
      <c r="A12" s="7">
        <v>4</v>
      </c>
      <c r="B12" s="6"/>
      <c r="C12" s="6"/>
      <c r="D12" s="9"/>
      <c r="E12" s="7">
        <v>4</v>
      </c>
      <c r="F12" s="6"/>
      <c r="G12" s="6"/>
      <c r="H12" s="9"/>
      <c r="I12" s="7">
        <v>4</v>
      </c>
      <c r="J12" s="6"/>
      <c r="K12" s="6"/>
    </row>
    <row r="13" spans="1:11" x14ac:dyDescent="0.25">
      <c r="A13" s="7">
        <v>5</v>
      </c>
      <c r="B13" s="6"/>
      <c r="C13" s="6"/>
      <c r="D13" s="9"/>
      <c r="E13" s="7">
        <v>5</v>
      </c>
      <c r="F13" s="6"/>
      <c r="G13" s="6"/>
      <c r="H13" s="9"/>
      <c r="I13" s="7">
        <v>5</v>
      </c>
      <c r="J13" s="6"/>
      <c r="K13" s="6"/>
    </row>
    <row r="14" spans="1:11" x14ac:dyDescent="0.25">
      <c r="A14" s="7" t="s">
        <v>38</v>
      </c>
      <c r="B14" s="8" t="e">
        <f>AVERAGE(B9:B13)*SQRT(2)/AVERAGE(C9:C13)</f>
        <v>#DIV/0!</v>
      </c>
      <c r="C14" s="9"/>
      <c r="D14" s="9"/>
      <c r="E14" s="7" t="s">
        <v>38</v>
      </c>
      <c r="F14" s="8" t="e">
        <f>AVERAGE(F9:F13)*SQRT(2)/AVERAGE(G9:G13)</f>
        <v>#DIV/0!</v>
      </c>
      <c r="G14" s="9"/>
      <c r="H14" s="9"/>
      <c r="I14" s="7" t="s">
        <v>38</v>
      </c>
      <c r="J14" s="8" t="e">
        <f>AVERAGE(J9:J13)*SQRT(2)/AVERAGE(K9:K13)</f>
        <v>#DIV/0!</v>
      </c>
      <c r="K14" s="9"/>
    </row>
    <row r="15" spans="1:11" x14ac:dyDescent="0.25">
      <c r="A15" s="12"/>
      <c r="B15" s="13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5" t="s">
        <v>10</v>
      </c>
      <c r="B16" s="5" t="s">
        <v>4</v>
      </c>
      <c r="C16" s="10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6" t="s">
        <v>5</v>
      </c>
      <c r="B17" s="6"/>
      <c r="C17" s="9"/>
      <c r="D17" s="9"/>
      <c r="E17" s="9"/>
      <c r="F17" s="9"/>
      <c r="G17" s="9"/>
      <c r="H17" s="9"/>
      <c r="I17" s="9" t="s">
        <v>171</v>
      </c>
      <c r="J17" s="9"/>
      <c r="K17" s="9"/>
    </row>
    <row r="18" spans="1:11" x14ac:dyDescent="0.25">
      <c r="A18" s="6" t="s">
        <v>6</v>
      </c>
      <c r="B18" s="6"/>
      <c r="C18" s="9"/>
      <c r="D18" s="10"/>
      <c r="E18" s="9"/>
      <c r="F18" s="9"/>
      <c r="G18" s="9"/>
      <c r="H18" s="9"/>
      <c r="J18" s="9"/>
      <c r="K18" s="9"/>
    </row>
    <row r="19" spans="1:11" x14ac:dyDescent="0.25">
      <c r="A19" s="6" t="s">
        <v>7</v>
      </c>
      <c r="B19" s="6"/>
      <c r="C19" s="9"/>
      <c r="D19" s="9"/>
      <c r="E19" s="9"/>
      <c r="F19" s="9"/>
      <c r="G19" s="9"/>
      <c r="H19" s="9"/>
      <c r="J19" s="9"/>
      <c r="K19" s="9"/>
    </row>
    <row r="20" spans="1:11" x14ac:dyDescent="0.25">
      <c r="A20" s="6" t="s">
        <v>8</v>
      </c>
      <c r="B20" s="6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6" t="s">
        <v>9</v>
      </c>
      <c r="B21" s="6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6" t="s">
        <v>52</v>
      </c>
      <c r="B22" s="6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6" t="s">
        <v>28</v>
      </c>
      <c r="B23" s="6" t="s">
        <v>29</v>
      </c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6" t="s">
        <v>27</v>
      </c>
      <c r="B24" s="6">
        <v>1.5</v>
      </c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6" t="s">
        <v>40</v>
      </c>
      <c r="B25" s="6">
        <v>1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6" t="s">
        <v>41</v>
      </c>
      <c r="B26" s="6">
        <v>1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12"/>
      <c r="B27" s="13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5">
      <c r="A28" s="41" t="s">
        <v>12</v>
      </c>
      <c r="B28" s="41" t="s">
        <v>4</v>
      </c>
      <c r="C28" s="10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42" t="s">
        <v>30</v>
      </c>
      <c r="B29" s="42">
        <f>IF(Scanner_="GE",BW_scanner_,IF(Scanner_="Philips",0.5*(B0_*42.5*3.5/1000)*N_fe_/BW_scanner_,IF(Scanner_="Siemens", BW_scanner_*N_fe_/(2*1000),"Error: unrecognised scanner")))</f>
        <v>0</v>
      </c>
      <c r="C29" s="15"/>
      <c r="D29" s="9"/>
      <c r="E29" s="9"/>
      <c r="F29" s="9"/>
      <c r="G29" s="9"/>
      <c r="H29" s="9"/>
      <c r="J29" s="9"/>
      <c r="K29" s="9"/>
    </row>
    <row r="30" spans="1:11" x14ac:dyDescent="0.25">
      <c r="A30" s="42" t="s">
        <v>13</v>
      </c>
      <c r="B30" s="43" t="e">
        <f>FOV_/N_fe_</f>
        <v>#DIV/0!</v>
      </c>
      <c r="C30" s="9"/>
      <c r="D30" s="9"/>
      <c r="E30" s="9"/>
      <c r="F30" s="9"/>
      <c r="G30" s="9"/>
      <c r="H30" s="9"/>
      <c r="J30" s="9"/>
      <c r="K30" s="9"/>
    </row>
    <row r="31" spans="1:11" x14ac:dyDescent="0.25">
      <c r="A31" s="42" t="s">
        <v>14</v>
      </c>
      <c r="B31" s="43" t="e">
        <f>FOV_/N_pe_</f>
        <v>#DIV/0!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25">
      <c r="A32" s="42" t="s">
        <v>49</v>
      </c>
      <c r="B32" s="43">
        <f>'Slice Width'!B5</f>
        <v>0</v>
      </c>
      <c r="C32" s="9"/>
      <c r="D32" s="9"/>
      <c r="E32" s="9"/>
      <c r="F32" s="9"/>
      <c r="G32" s="9"/>
      <c r="H32" s="9"/>
      <c r="I32" s="9" t="s">
        <v>172</v>
      </c>
      <c r="J32" s="9"/>
      <c r="K32" s="9"/>
    </row>
    <row r="33" spans="1:11" x14ac:dyDescent="0.25">
      <c r="A33" s="42" t="s">
        <v>50</v>
      </c>
      <c r="B33" s="43">
        <f>'Slice Width'!E5</f>
        <v>0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42" t="s">
        <v>51</v>
      </c>
      <c r="B34" s="43">
        <f>'Slice Width'!D5</f>
        <v>0</v>
      </c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5">
      <c r="A35" s="44"/>
      <c r="B35" s="44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5">
      <c r="A36" s="41" t="s">
        <v>11</v>
      </c>
      <c r="B36" s="41" t="s">
        <v>4</v>
      </c>
      <c r="C36" s="10"/>
      <c r="D36" s="9"/>
      <c r="E36" s="9"/>
      <c r="F36" s="9"/>
      <c r="G36" s="9"/>
      <c r="H36" s="9"/>
      <c r="I36" s="9"/>
      <c r="J36" s="9"/>
      <c r="K36" s="9"/>
    </row>
    <row r="37" spans="1:11" x14ac:dyDescent="0.25">
      <c r="A37" s="42" t="s">
        <v>42</v>
      </c>
      <c r="B37" s="42">
        <v>30</v>
      </c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5">
      <c r="A38" s="44"/>
      <c r="B38" s="44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5">
      <c r="A39" s="41" t="s">
        <v>3</v>
      </c>
      <c r="B39" s="41" t="s">
        <v>4</v>
      </c>
      <c r="C39" s="10"/>
      <c r="D39" s="9"/>
      <c r="E39" s="9"/>
      <c r="F39" s="9"/>
      <c r="G39" s="9"/>
      <c r="H39" s="9"/>
      <c r="J39" s="9"/>
      <c r="K39" s="9"/>
    </row>
    <row r="40" spans="1:11" x14ac:dyDescent="0.25">
      <c r="A40" s="42" t="s">
        <v>44</v>
      </c>
      <c r="B40" s="42">
        <f>SQRT(BW_/BW_nominal_)</f>
        <v>0</v>
      </c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5">
      <c r="A41" s="42" t="s">
        <v>45</v>
      </c>
      <c r="B41" s="42" t="e">
        <f>1/((Dx_/10)*(Dy_/10)*(Dz_tra_/10))</f>
        <v>#DIV/0!</v>
      </c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5">
      <c r="A42" s="42" t="s">
        <v>46</v>
      </c>
      <c r="B42" s="42" t="e">
        <f>1/((Dx_/10)*(Dy_/10)*(Dz_sag_/10))</f>
        <v>#DIV/0!</v>
      </c>
      <c r="C42" s="9"/>
      <c r="D42" s="9"/>
      <c r="E42" s="9"/>
      <c r="F42" s="9"/>
      <c r="G42" s="9"/>
      <c r="H42" s="9"/>
      <c r="J42" s="9"/>
      <c r="K42" s="9"/>
    </row>
    <row r="43" spans="1:11" x14ac:dyDescent="0.25">
      <c r="A43" s="42" t="s">
        <v>47</v>
      </c>
      <c r="B43" s="42" t="e">
        <f>1/((Dx_/10)*(Dy_/10)*(Dz_cor_/10))</f>
        <v>#DIV/0!</v>
      </c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25">
      <c r="A44" s="42" t="s">
        <v>48</v>
      </c>
      <c r="B44" s="42" t="e">
        <f>1/SQRT(N_pe_*(TR_/1000)*NSA_)</f>
        <v>#DIV/0!</v>
      </c>
      <c r="C44" s="9"/>
      <c r="D44" s="9"/>
      <c r="E44" s="9"/>
      <c r="F44" s="9"/>
      <c r="G44" s="9"/>
      <c r="H44" s="9"/>
      <c r="I44" s="9"/>
      <c r="J44" s="9"/>
      <c r="K44" s="9"/>
    </row>
    <row r="45" spans="1:11" x14ac:dyDescent="0.25">
      <c r="A45" s="42" t="s">
        <v>43</v>
      </c>
      <c r="B45" s="42">
        <f>SQRT(Q_head_/Q_test_object_)</f>
        <v>1</v>
      </c>
      <c r="C45" s="9"/>
      <c r="D45" s="9"/>
      <c r="E45" s="9"/>
      <c r="F45" s="9"/>
      <c r="G45" s="9"/>
      <c r="H45" s="9"/>
      <c r="J45" s="9"/>
      <c r="K45" s="9"/>
    </row>
    <row r="46" spans="1:11" x14ac:dyDescent="0.25">
      <c r="A46" s="9"/>
    </row>
    <row r="47" spans="1:11" x14ac:dyDescent="0.25">
      <c r="I47" t="s">
        <v>173</v>
      </c>
    </row>
    <row r="48" spans="1:11" x14ac:dyDescent="0.25">
      <c r="G48" s="4"/>
    </row>
    <row r="71" spans="1:3" x14ac:dyDescent="0.25">
      <c r="A71" t="s">
        <v>20</v>
      </c>
      <c r="C71" t="e">
        <f>(BW_siemens_*N_fe_/2)/1000</f>
        <v>#NAME?</v>
      </c>
    </row>
    <row r="72" spans="1:3" x14ac:dyDescent="0.25">
      <c r="A72" t="s">
        <v>21</v>
      </c>
      <c r="C72" t="e" cm="1">
        <f t="array" ref="C72">BW</f>
        <v>#NAME?</v>
      </c>
    </row>
    <row r="73" spans="1:3" x14ac:dyDescent="0.25">
      <c r="A73" t="s">
        <v>22</v>
      </c>
    </row>
  </sheetData>
  <mergeCells count="3">
    <mergeCell ref="A7:C7"/>
    <mergeCell ref="E7:G7"/>
    <mergeCell ref="I7:K7"/>
  </mergeCells>
  <dataValidations count="2">
    <dataValidation type="list" allowBlank="1" showInputMessage="1" showErrorMessage="1" sqref="B24" xr:uid="{62C911CF-8256-4755-9C20-3B49B63F0432}">
      <formula1>"1.5, 3"</formula1>
    </dataValidation>
    <dataValidation type="list" allowBlank="1" showInputMessage="1" showErrorMessage="1" sqref="B23" xr:uid="{14C6F5D8-6139-47F2-9A72-C6AED96238B1}">
      <formula1>"GE, Philips, Siemens"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5845-4209-4F81-8B80-659FD730EA1F}">
  <dimension ref="A1:I8"/>
  <sheetViews>
    <sheetView workbookViewId="0">
      <selection activeCell="S23" sqref="S23"/>
    </sheetView>
  </sheetViews>
  <sheetFormatPr defaultColWidth="8.85546875" defaultRowHeight="15" x14ac:dyDescent="0.25"/>
  <cols>
    <col min="1" max="2" width="10.85546875" bestFit="1" customWidth="1"/>
    <col min="3" max="3" width="10.7109375" bestFit="1" customWidth="1"/>
    <col min="4" max="4" width="8.140625" bestFit="1" customWidth="1"/>
    <col min="5" max="5" width="18.42578125" bestFit="1" customWidth="1"/>
  </cols>
  <sheetData>
    <row r="1" spans="1:9" ht="26.25" x14ac:dyDescent="0.4">
      <c r="A1" s="52" t="s">
        <v>54</v>
      </c>
      <c r="B1" s="52"/>
      <c r="C1" s="52"/>
      <c r="D1" s="52"/>
      <c r="E1" s="52"/>
    </row>
    <row r="3" spans="1:9" x14ac:dyDescent="0.25">
      <c r="A3" s="1" t="s">
        <v>55</v>
      </c>
      <c r="B3" s="1" t="s">
        <v>56</v>
      </c>
      <c r="C3" s="1" t="s">
        <v>57</v>
      </c>
      <c r="D3" s="1" t="s">
        <v>26</v>
      </c>
      <c r="E3" s="1" t="s">
        <v>58</v>
      </c>
    </row>
    <row r="4" spans="1:9" x14ac:dyDescent="0.25">
      <c r="A4" s="3">
        <f>AVERAGE(B7,D7)</f>
        <v>0</v>
      </c>
      <c r="B4" s="3">
        <f>AVERAGE(B8,C7)</f>
        <v>0</v>
      </c>
      <c r="C4" s="3">
        <f>AVERAGE(C8,D8)</f>
        <v>0</v>
      </c>
      <c r="D4" s="3">
        <f>AVERAGE(A4:C4)</f>
        <v>0</v>
      </c>
      <c r="E4" s="3">
        <f>_xlfn.STDEV.S(B7:D8)</f>
        <v>0</v>
      </c>
      <c r="I4" s="19"/>
    </row>
    <row r="6" spans="1:9" x14ac:dyDescent="0.25">
      <c r="A6" s="20"/>
      <c r="B6" s="20" t="s">
        <v>23</v>
      </c>
      <c r="C6" s="20" t="s">
        <v>24</v>
      </c>
      <c r="D6" s="1" t="s">
        <v>25</v>
      </c>
    </row>
    <row r="7" spans="1:9" x14ac:dyDescent="0.25">
      <c r="A7" s="1" t="s">
        <v>59</v>
      </c>
      <c r="B7" s="3">
        <f>'BC Tra Uniformity'!B2</f>
        <v>0</v>
      </c>
      <c r="C7" s="3">
        <f>'BC Sag Uniformity'!B2</f>
        <v>0</v>
      </c>
      <c r="D7" s="3">
        <f>'BC Cor Uniformity'!B2</f>
        <v>0</v>
      </c>
    </row>
    <row r="8" spans="1:9" x14ac:dyDescent="0.25">
      <c r="A8" s="1" t="s">
        <v>60</v>
      </c>
      <c r="B8" s="3">
        <f>'BC Tra Uniformity'!C2</f>
        <v>0</v>
      </c>
      <c r="C8" s="3">
        <f>'BC Sag Uniformity'!C2</f>
        <v>0</v>
      </c>
      <c r="D8" s="3">
        <f>'BC Cor Uniformity'!C2</f>
        <v>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4CEA-F4C0-4E2A-A87C-888A269725FC}">
  <dimension ref="A1:S165"/>
  <sheetViews>
    <sheetView workbookViewId="0">
      <selection activeCell="V13" sqref="V13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  <c r="S11" t="s">
        <v>164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588-21CD-429B-A64E-7C40B6A5DB6C}">
  <dimension ref="A1:S165"/>
  <sheetViews>
    <sheetView workbookViewId="0">
      <selection activeCell="G6" sqref="G6:H165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  <c r="S12" s="46" t="s">
        <v>165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21AF-C6D8-4117-B81E-C4EDD67665B3}">
  <dimension ref="A1:S165"/>
  <sheetViews>
    <sheetView workbookViewId="0">
      <selection activeCell="G6" sqref="G6:H165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  <c r="S12" s="46" t="s">
        <v>166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B3CC-413C-47E8-8994-7F9360A4FEEF}">
  <dimension ref="A1:I8"/>
  <sheetViews>
    <sheetView workbookViewId="0">
      <selection activeCell="I38" sqref="I38"/>
    </sheetView>
  </sheetViews>
  <sheetFormatPr defaultColWidth="8.85546875" defaultRowHeight="15" x14ac:dyDescent="0.25"/>
  <cols>
    <col min="1" max="2" width="10.85546875" bestFit="1" customWidth="1"/>
    <col min="3" max="3" width="10.7109375" bestFit="1" customWidth="1"/>
    <col min="4" max="4" width="8.140625" bestFit="1" customWidth="1"/>
    <col min="5" max="5" width="18.42578125" bestFit="1" customWidth="1"/>
  </cols>
  <sheetData>
    <row r="1" spans="1:9" ht="26.25" x14ac:dyDescent="0.4">
      <c r="A1" s="52" t="s">
        <v>65</v>
      </c>
      <c r="B1" s="52"/>
      <c r="C1" s="52"/>
      <c r="D1" s="52"/>
      <c r="E1" s="52"/>
    </row>
    <row r="3" spans="1:9" x14ac:dyDescent="0.25">
      <c r="A3" s="1" t="s">
        <v>55</v>
      </c>
      <c r="B3" s="1" t="s">
        <v>56</v>
      </c>
      <c r="C3" s="1" t="s">
        <v>57</v>
      </c>
      <c r="D3" s="1" t="s">
        <v>26</v>
      </c>
      <c r="E3" s="1" t="s">
        <v>58</v>
      </c>
    </row>
    <row r="4" spans="1:9" x14ac:dyDescent="0.25">
      <c r="A4" s="3">
        <f>AVERAGE(B7,D7)</f>
        <v>0</v>
      </c>
      <c r="B4" s="3">
        <f>AVERAGE(B8,C7)</f>
        <v>0</v>
      </c>
      <c r="C4" s="3">
        <f>AVERAGE(C8,D8)</f>
        <v>0</v>
      </c>
      <c r="D4" s="3">
        <f>AVERAGE(A4:C4)</f>
        <v>0</v>
      </c>
      <c r="E4" s="3">
        <f>_xlfn.STDEV.S(B7:D8)</f>
        <v>0</v>
      </c>
      <c r="I4" s="19"/>
    </row>
    <row r="6" spans="1:9" x14ac:dyDescent="0.25">
      <c r="A6" s="20"/>
      <c r="B6" s="20" t="s">
        <v>23</v>
      </c>
      <c r="C6" s="20" t="s">
        <v>24</v>
      </c>
      <c r="D6" s="1" t="s">
        <v>25</v>
      </c>
    </row>
    <row r="7" spans="1:9" x14ac:dyDescent="0.25">
      <c r="A7" s="1" t="s">
        <v>59</v>
      </c>
      <c r="B7" s="3">
        <f>'HC Tra Uniformity'!B2</f>
        <v>0</v>
      </c>
      <c r="C7" s="3">
        <f>'HC Sag Uniformity'!B2</f>
        <v>0</v>
      </c>
      <c r="D7" s="3">
        <f>'HC Cor Uniformity'!B2</f>
        <v>0</v>
      </c>
    </row>
    <row r="8" spans="1:9" x14ac:dyDescent="0.25">
      <c r="A8" s="1" t="s">
        <v>60</v>
      </c>
      <c r="B8" s="3">
        <f>'HC Tra Uniformity'!C2</f>
        <v>0</v>
      </c>
      <c r="C8" s="3">
        <f>'HC Sag Uniformity'!C2</f>
        <v>0</v>
      </c>
      <c r="D8" s="3">
        <f>'HC Cor Uniformity'!C2</f>
        <v>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5C53-9B38-49B2-8918-A668D6FF1A57}">
  <dimension ref="A1:S165"/>
  <sheetViews>
    <sheetView workbookViewId="0">
      <selection activeCell="G6" sqref="G6:H165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  <c r="S12" s="46" t="s">
        <v>169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D5A2-C70C-4868-A31D-61DBA7D05679}">
  <dimension ref="A1:S165"/>
  <sheetViews>
    <sheetView workbookViewId="0">
      <selection activeCell="G6" sqref="G6:H165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  <c r="S12" s="46" t="s">
        <v>168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0983-B34D-491E-BA69-73AA0CCAF6AF}">
  <dimension ref="A1:S165"/>
  <sheetViews>
    <sheetView workbookViewId="0">
      <selection activeCell="U22" sqref="U22"/>
    </sheetView>
  </sheetViews>
  <sheetFormatPr defaultColWidth="8.85546875" defaultRowHeight="15" x14ac:dyDescent="0.25"/>
  <cols>
    <col min="1" max="1" width="19.85546875" bestFit="1" customWidth="1"/>
    <col min="2" max="2" width="11.42578125" bestFit="1" customWidth="1"/>
    <col min="3" max="3" width="17.42578125" bestFit="1" customWidth="1"/>
    <col min="4" max="4" width="14.42578125" bestFit="1" customWidth="1"/>
    <col min="6" max="6" width="11.42578125" bestFit="1" customWidth="1"/>
    <col min="7" max="8" width="17.42578125" bestFit="1" customWidth="1"/>
    <col min="9" max="9" width="14.42578125" bestFit="1" customWidth="1"/>
  </cols>
  <sheetData>
    <row r="1" spans="1:19" x14ac:dyDescent="0.25">
      <c r="A1" s="2"/>
      <c r="B1" s="1" t="s">
        <v>59</v>
      </c>
      <c r="C1" s="1" t="s">
        <v>60</v>
      </c>
    </row>
    <row r="2" spans="1:19" x14ac:dyDescent="0.25">
      <c r="A2" s="2" t="s">
        <v>64</v>
      </c>
      <c r="B2" s="3">
        <f>COUNTIF(D6:D165, "&lt;"&amp;0.1*C6)/160</f>
        <v>0</v>
      </c>
      <c r="C2" s="3">
        <f>COUNTIF(I6:I165, "&lt;"&amp;0.1*H6)/160</f>
        <v>0</v>
      </c>
    </row>
    <row r="3" spans="1:19" x14ac:dyDescent="0.25">
      <c r="B3" s="21"/>
      <c r="C3" s="21"/>
    </row>
    <row r="4" spans="1:19" x14ac:dyDescent="0.25">
      <c r="A4" s="53" t="s">
        <v>59</v>
      </c>
      <c r="B4" s="53"/>
      <c r="C4" s="53"/>
      <c r="D4" s="53"/>
      <c r="F4" s="53" t="s">
        <v>60</v>
      </c>
      <c r="G4" s="53"/>
      <c r="H4" s="53"/>
      <c r="I4" s="53"/>
    </row>
    <row r="5" spans="1:19" x14ac:dyDescent="0.25">
      <c r="A5" s="1" t="s">
        <v>35</v>
      </c>
      <c r="B5" s="1" t="s">
        <v>61</v>
      </c>
      <c r="C5" s="1" t="s">
        <v>62</v>
      </c>
      <c r="D5" s="1" t="s">
        <v>63</v>
      </c>
      <c r="F5" s="1" t="s">
        <v>35</v>
      </c>
      <c r="G5" s="1" t="s">
        <v>61</v>
      </c>
      <c r="H5" s="1" t="s">
        <v>62</v>
      </c>
      <c r="I5" s="1" t="s">
        <v>63</v>
      </c>
    </row>
    <row r="6" spans="1:19" x14ac:dyDescent="0.25">
      <c r="A6" s="2">
        <v>1</v>
      </c>
      <c r="B6" s="2"/>
      <c r="C6" s="2"/>
      <c r="D6" s="2">
        <f>ABS(B6-C6)</f>
        <v>0</v>
      </c>
      <c r="F6" s="2">
        <v>1</v>
      </c>
      <c r="G6" s="2"/>
      <c r="H6" s="2"/>
      <c r="I6" s="2">
        <f>ABS(G6-H6)</f>
        <v>0</v>
      </c>
    </row>
    <row r="7" spans="1:19" x14ac:dyDescent="0.25">
      <c r="A7" s="2">
        <v>2</v>
      </c>
      <c r="B7" s="2"/>
      <c r="C7" s="2"/>
      <c r="D7" s="2">
        <f t="shared" ref="D7:D70" si="0">ABS(B7-C7)</f>
        <v>0</v>
      </c>
      <c r="F7" s="2">
        <v>2</v>
      </c>
      <c r="G7" s="2"/>
      <c r="H7" s="2"/>
      <c r="I7" s="2">
        <f t="shared" ref="I7:I70" si="1">ABS(G7-H7)</f>
        <v>0</v>
      </c>
    </row>
    <row r="8" spans="1:19" x14ac:dyDescent="0.25">
      <c r="A8" s="2">
        <v>3</v>
      </c>
      <c r="B8" s="2"/>
      <c r="C8" s="2"/>
      <c r="D8" s="2">
        <f t="shared" si="0"/>
        <v>0</v>
      </c>
      <c r="F8" s="2">
        <v>3</v>
      </c>
      <c r="G8" s="2"/>
      <c r="H8" s="2"/>
      <c r="I8" s="2">
        <f t="shared" si="1"/>
        <v>0</v>
      </c>
    </row>
    <row r="9" spans="1:19" x14ac:dyDescent="0.25">
      <c r="A9" s="2">
        <v>4</v>
      </c>
      <c r="B9" s="2"/>
      <c r="C9" s="2"/>
      <c r="D9" s="2">
        <f t="shared" si="0"/>
        <v>0</v>
      </c>
      <c r="F9" s="2">
        <v>4</v>
      </c>
      <c r="G9" s="2"/>
      <c r="H9" s="2"/>
      <c r="I9" s="2">
        <f t="shared" si="1"/>
        <v>0</v>
      </c>
    </row>
    <row r="10" spans="1:19" x14ac:dyDescent="0.25">
      <c r="A10" s="2">
        <v>5</v>
      </c>
      <c r="B10" s="2"/>
      <c r="C10" s="2"/>
      <c r="D10" s="2">
        <f t="shared" si="0"/>
        <v>0</v>
      </c>
      <c r="F10" s="2">
        <v>5</v>
      </c>
      <c r="G10" s="2"/>
      <c r="H10" s="2"/>
      <c r="I10" s="2">
        <f t="shared" si="1"/>
        <v>0</v>
      </c>
    </row>
    <row r="11" spans="1:19" x14ac:dyDescent="0.25">
      <c r="A11" s="2">
        <v>6</v>
      </c>
      <c r="B11" s="2"/>
      <c r="C11" s="2"/>
      <c r="D11" s="2">
        <f t="shared" si="0"/>
        <v>0</v>
      </c>
      <c r="F11" s="2">
        <v>6</v>
      </c>
      <c r="G11" s="2"/>
      <c r="H11" s="2"/>
      <c r="I11" s="2">
        <f t="shared" si="1"/>
        <v>0</v>
      </c>
    </row>
    <row r="12" spans="1:19" x14ac:dyDescent="0.25">
      <c r="A12" s="2">
        <v>7</v>
      </c>
      <c r="B12" s="2"/>
      <c r="C12" s="2"/>
      <c r="D12" s="2">
        <f t="shared" si="0"/>
        <v>0</v>
      </c>
      <c r="F12" s="2">
        <v>7</v>
      </c>
      <c r="G12" s="2"/>
      <c r="H12" s="2"/>
      <c r="I12" s="2">
        <f t="shared" si="1"/>
        <v>0</v>
      </c>
      <c r="S12" s="46" t="s">
        <v>167</v>
      </c>
    </row>
    <row r="13" spans="1:19" x14ac:dyDescent="0.25">
      <c r="A13" s="2">
        <v>8</v>
      </c>
      <c r="B13" s="2"/>
      <c r="C13" s="2"/>
      <c r="D13" s="2">
        <f t="shared" si="0"/>
        <v>0</v>
      </c>
      <c r="F13" s="2">
        <v>8</v>
      </c>
      <c r="G13" s="2"/>
      <c r="H13" s="2"/>
      <c r="I13" s="2">
        <f t="shared" si="1"/>
        <v>0</v>
      </c>
    </row>
    <row r="14" spans="1:19" x14ac:dyDescent="0.25">
      <c r="A14" s="2">
        <v>9</v>
      </c>
      <c r="B14" s="2"/>
      <c r="C14" s="2"/>
      <c r="D14" s="2">
        <f t="shared" si="0"/>
        <v>0</v>
      </c>
      <c r="F14" s="2">
        <v>9</v>
      </c>
      <c r="G14" s="2"/>
      <c r="H14" s="2"/>
      <c r="I14" s="2">
        <f t="shared" si="1"/>
        <v>0</v>
      </c>
    </row>
    <row r="15" spans="1:19" x14ac:dyDescent="0.25">
      <c r="A15" s="2">
        <v>10</v>
      </c>
      <c r="B15" s="2"/>
      <c r="C15" s="2"/>
      <c r="D15" s="2">
        <f t="shared" si="0"/>
        <v>0</v>
      </c>
      <c r="F15" s="2">
        <v>10</v>
      </c>
      <c r="G15" s="2"/>
      <c r="H15" s="2"/>
      <c r="I15" s="2">
        <f t="shared" si="1"/>
        <v>0</v>
      </c>
    </row>
    <row r="16" spans="1:19" x14ac:dyDescent="0.25">
      <c r="A16" s="2">
        <v>11</v>
      </c>
      <c r="B16" s="2"/>
      <c r="C16" s="2"/>
      <c r="D16" s="2">
        <f t="shared" si="0"/>
        <v>0</v>
      </c>
      <c r="F16" s="2">
        <v>11</v>
      </c>
      <c r="G16" s="2"/>
      <c r="H16" s="2"/>
      <c r="I16" s="2">
        <f t="shared" si="1"/>
        <v>0</v>
      </c>
    </row>
    <row r="17" spans="1:9" x14ac:dyDescent="0.25">
      <c r="A17" s="2">
        <v>12</v>
      </c>
      <c r="B17" s="2"/>
      <c r="C17" s="2"/>
      <c r="D17" s="2">
        <f t="shared" si="0"/>
        <v>0</v>
      </c>
      <c r="F17" s="2">
        <v>12</v>
      </c>
      <c r="G17" s="2"/>
      <c r="H17" s="2"/>
      <c r="I17" s="2">
        <f t="shared" si="1"/>
        <v>0</v>
      </c>
    </row>
    <row r="18" spans="1:9" x14ac:dyDescent="0.25">
      <c r="A18" s="2">
        <v>13</v>
      </c>
      <c r="B18" s="2"/>
      <c r="C18" s="2"/>
      <c r="D18" s="2">
        <f t="shared" si="0"/>
        <v>0</v>
      </c>
      <c r="F18" s="2">
        <v>13</v>
      </c>
      <c r="G18" s="2"/>
      <c r="H18" s="2"/>
      <c r="I18" s="2">
        <f t="shared" si="1"/>
        <v>0</v>
      </c>
    </row>
    <row r="19" spans="1:9" x14ac:dyDescent="0.25">
      <c r="A19" s="2">
        <v>14</v>
      </c>
      <c r="B19" s="2"/>
      <c r="C19" s="2"/>
      <c r="D19" s="2">
        <f t="shared" si="0"/>
        <v>0</v>
      </c>
      <c r="F19" s="2">
        <v>14</v>
      </c>
      <c r="G19" s="2"/>
      <c r="H19" s="2"/>
      <c r="I19" s="2">
        <f t="shared" si="1"/>
        <v>0</v>
      </c>
    </row>
    <row r="20" spans="1:9" x14ac:dyDescent="0.25">
      <c r="A20" s="2">
        <v>15</v>
      </c>
      <c r="B20" s="2"/>
      <c r="C20" s="2"/>
      <c r="D20" s="2">
        <f t="shared" si="0"/>
        <v>0</v>
      </c>
      <c r="F20" s="2">
        <v>15</v>
      </c>
      <c r="G20" s="2"/>
      <c r="H20" s="2"/>
      <c r="I20" s="2">
        <f t="shared" si="1"/>
        <v>0</v>
      </c>
    </row>
    <row r="21" spans="1:9" x14ac:dyDescent="0.25">
      <c r="A21" s="2">
        <v>16</v>
      </c>
      <c r="B21" s="2"/>
      <c r="C21" s="2"/>
      <c r="D21" s="2">
        <f t="shared" si="0"/>
        <v>0</v>
      </c>
      <c r="F21" s="2">
        <v>16</v>
      </c>
      <c r="G21" s="2"/>
      <c r="H21" s="2"/>
      <c r="I21" s="2">
        <f t="shared" si="1"/>
        <v>0</v>
      </c>
    </row>
    <row r="22" spans="1:9" x14ac:dyDescent="0.25">
      <c r="A22" s="2">
        <v>17</v>
      </c>
      <c r="B22" s="2"/>
      <c r="C22" s="2"/>
      <c r="D22" s="2">
        <f t="shared" si="0"/>
        <v>0</v>
      </c>
      <c r="F22" s="2">
        <v>17</v>
      </c>
      <c r="G22" s="2"/>
      <c r="H22" s="2"/>
      <c r="I22" s="2">
        <f t="shared" si="1"/>
        <v>0</v>
      </c>
    </row>
    <row r="23" spans="1:9" x14ac:dyDescent="0.25">
      <c r="A23" s="2">
        <v>18</v>
      </c>
      <c r="B23" s="2"/>
      <c r="C23" s="2"/>
      <c r="D23" s="2">
        <f t="shared" si="0"/>
        <v>0</v>
      </c>
      <c r="F23" s="2">
        <v>18</v>
      </c>
      <c r="G23" s="2"/>
      <c r="H23" s="2"/>
      <c r="I23" s="2">
        <f t="shared" si="1"/>
        <v>0</v>
      </c>
    </row>
    <row r="24" spans="1:9" x14ac:dyDescent="0.25">
      <c r="A24" s="2">
        <v>19</v>
      </c>
      <c r="B24" s="2"/>
      <c r="C24" s="2"/>
      <c r="D24" s="2">
        <f t="shared" si="0"/>
        <v>0</v>
      </c>
      <c r="F24" s="2">
        <v>19</v>
      </c>
      <c r="G24" s="2"/>
      <c r="H24" s="2"/>
      <c r="I24" s="2">
        <f t="shared" si="1"/>
        <v>0</v>
      </c>
    </row>
    <row r="25" spans="1:9" x14ac:dyDescent="0.25">
      <c r="A25" s="2">
        <v>20</v>
      </c>
      <c r="B25" s="2"/>
      <c r="C25" s="2"/>
      <c r="D25" s="2">
        <f t="shared" si="0"/>
        <v>0</v>
      </c>
      <c r="F25" s="2">
        <v>20</v>
      </c>
      <c r="G25" s="2"/>
      <c r="H25" s="2"/>
      <c r="I25" s="2">
        <f t="shared" si="1"/>
        <v>0</v>
      </c>
    </row>
    <row r="26" spans="1:9" x14ac:dyDescent="0.25">
      <c r="A26" s="2">
        <v>21</v>
      </c>
      <c r="B26" s="2"/>
      <c r="C26" s="2"/>
      <c r="D26" s="2">
        <f t="shared" si="0"/>
        <v>0</v>
      </c>
      <c r="F26" s="2">
        <v>21</v>
      </c>
      <c r="G26" s="2"/>
      <c r="H26" s="2"/>
      <c r="I26" s="2">
        <f t="shared" si="1"/>
        <v>0</v>
      </c>
    </row>
    <row r="27" spans="1:9" x14ac:dyDescent="0.25">
      <c r="A27" s="2">
        <v>22</v>
      </c>
      <c r="B27" s="2"/>
      <c r="C27" s="2"/>
      <c r="D27" s="2">
        <f t="shared" si="0"/>
        <v>0</v>
      </c>
      <c r="F27" s="2">
        <v>22</v>
      </c>
      <c r="G27" s="2"/>
      <c r="H27" s="2"/>
      <c r="I27" s="2">
        <f t="shared" si="1"/>
        <v>0</v>
      </c>
    </row>
    <row r="28" spans="1:9" x14ac:dyDescent="0.25">
      <c r="A28" s="2">
        <v>23</v>
      </c>
      <c r="B28" s="2"/>
      <c r="C28" s="2"/>
      <c r="D28" s="2">
        <f t="shared" si="0"/>
        <v>0</v>
      </c>
      <c r="F28" s="2">
        <v>23</v>
      </c>
      <c r="G28" s="2"/>
      <c r="H28" s="2"/>
      <c r="I28" s="2">
        <f t="shared" si="1"/>
        <v>0</v>
      </c>
    </row>
    <row r="29" spans="1:9" x14ac:dyDescent="0.25">
      <c r="A29" s="2">
        <v>24</v>
      </c>
      <c r="B29" s="2"/>
      <c r="C29" s="2"/>
      <c r="D29" s="2">
        <f t="shared" si="0"/>
        <v>0</v>
      </c>
      <c r="F29" s="2">
        <v>24</v>
      </c>
      <c r="G29" s="2"/>
      <c r="H29" s="2"/>
      <c r="I29" s="2">
        <f t="shared" si="1"/>
        <v>0</v>
      </c>
    </row>
    <row r="30" spans="1:9" x14ac:dyDescent="0.25">
      <c r="A30" s="2">
        <v>25</v>
      </c>
      <c r="B30" s="2"/>
      <c r="C30" s="2"/>
      <c r="D30" s="2">
        <f t="shared" si="0"/>
        <v>0</v>
      </c>
      <c r="F30" s="2">
        <v>25</v>
      </c>
      <c r="G30" s="2"/>
      <c r="H30" s="2"/>
      <c r="I30" s="2">
        <f t="shared" si="1"/>
        <v>0</v>
      </c>
    </row>
    <row r="31" spans="1:9" x14ac:dyDescent="0.25">
      <c r="A31" s="2">
        <v>26</v>
      </c>
      <c r="B31" s="2"/>
      <c r="C31" s="2"/>
      <c r="D31" s="2">
        <f t="shared" si="0"/>
        <v>0</v>
      </c>
      <c r="F31" s="2">
        <v>26</v>
      </c>
      <c r="G31" s="2"/>
      <c r="H31" s="2"/>
      <c r="I31" s="2">
        <f t="shared" si="1"/>
        <v>0</v>
      </c>
    </row>
    <row r="32" spans="1:9" x14ac:dyDescent="0.25">
      <c r="A32" s="2">
        <v>27</v>
      </c>
      <c r="B32" s="2"/>
      <c r="C32" s="2"/>
      <c r="D32" s="2">
        <f t="shared" si="0"/>
        <v>0</v>
      </c>
      <c r="F32" s="2">
        <v>27</v>
      </c>
      <c r="G32" s="2"/>
      <c r="H32" s="2"/>
      <c r="I32" s="2">
        <f t="shared" si="1"/>
        <v>0</v>
      </c>
    </row>
    <row r="33" spans="1:9" x14ac:dyDescent="0.25">
      <c r="A33" s="2">
        <v>28</v>
      </c>
      <c r="B33" s="2"/>
      <c r="C33" s="2"/>
      <c r="D33" s="2">
        <f t="shared" si="0"/>
        <v>0</v>
      </c>
      <c r="F33" s="2">
        <v>28</v>
      </c>
      <c r="G33" s="2"/>
      <c r="H33" s="2"/>
      <c r="I33" s="2">
        <f t="shared" si="1"/>
        <v>0</v>
      </c>
    </row>
    <row r="34" spans="1:9" x14ac:dyDescent="0.25">
      <c r="A34" s="2">
        <v>29</v>
      </c>
      <c r="B34" s="2"/>
      <c r="C34" s="2"/>
      <c r="D34" s="2">
        <f t="shared" si="0"/>
        <v>0</v>
      </c>
      <c r="F34" s="2">
        <v>29</v>
      </c>
      <c r="G34" s="2"/>
      <c r="H34" s="2"/>
      <c r="I34" s="2">
        <f t="shared" si="1"/>
        <v>0</v>
      </c>
    </row>
    <row r="35" spans="1:9" x14ac:dyDescent="0.25">
      <c r="A35" s="2">
        <v>30</v>
      </c>
      <c r="B35" s="2"/>
      <c r="C35" s="2"/>
      <c r="D35" s="2">
        <f t="shared" si="0"/>
        <v>0</v>
      </c>
      <c r="F35" s="2">
        <v>30</v>
      </c>
      <c r="G35" s="2"/>
      <c r="H35" s="2"/>
      <c r="I35" s="2">
        <f t="shared" si="1"/>
        <v>0</v>
      </c>
    </row>
    <row r="36" spans="1:9" x14ac:dyDescent="0.25">
      <c r="A36" s="2">
        <v>31</v>
      </c>
      <c r="B36" s="2"/>
      <c r="C36" s="2"/>
      <c r="D36" s="2">
        <f t="shared" si="0"/>
        <v>0</v>
      </c>
      <c r="F36" s="2">
        <v>31</v>
      </c>
      <c r="G36" s="2"/>
      <c r="H36" s="2"/>
      <c r="I36" s="2">
        <f t="shared" si="1"/>
        <v>0</v>
      </c>
    </row>
    <row r="37" spans="1:9" x14ac:dyDescent="0.25">
      <c r="A37" s="2">
        <v>32</v>
      </c>
      <c r="B37" s="2"/>
      <c r="C37" s="2"/>
      <c r="D37" s="2">
        <f t="shared" si="0"/>
        <v>0</v>
      </c>
      <c r="F37" s="2">
        <v>32</v>
      </c>
      <c r="G37" s="2"/>
      <c r="H37" s="2"/>
      <c r="I37" s="2">
        <f t="shared" si="1"/>
        <v>0</v>
      </c>
    </row>
    <row r="38" spans="1:9" x14ac:dyDescent="0.25">
      <c r="A38" s="2">
        <v>33</v>
      </c>
      <c r="B38" s="2"/>
      <c r="C38" s="2"/>
      <c r="D38" s="2">
        <f t="shared" si="0"/>
        <v>0</v>
      </c>
      <c r="F38" s="2">
        <v>33</v>
      </c>
      <c r="G38" s="2"/>
      <c r="H38" s="2"/>
      <c r="I38" s="2">
        <f t="shared" si="1"/>
        <v>0</v>
      </c>
    </row>
    <row r="39" spans="1:9" x14ac:dyDescent="0.25">
      <c r="A39" s="2">
        <v>34</v>
      </c>
      <c r="B39" s="2"/>
      <c r="C39" s="2"/>
      <c r="D39" s="2">
        <f t="shared" si="0"/>
        <v>0</v>
      </c>
      <c r="F39" s="2">
        <v>34</v>
      </c>
      <c r="G39" s="2"/>
      <c r="H39" s="2"/>
      <c r="I39" s="2">
        <f t="shared" si="1"/>
        <v>0</v>
      </c>
    </row>
    <row r="40" spans="1:9" x14ac:dyDescent="0.25">
      <c r="A40" s="2">
        <v>35</v>
      </c>
      <c r="B40" s="2"/>
      <c r="C40" s="2"/>
      <c r="D40" s="2">
        <f t="shared" si="0"/>
        <v>0</v>
      </c>
      <c r="F40" s="2">
        <v>35</v>
      </c>
      <c r="G40" s="2"/>
      <c r="H40" s="2"/>
      <c r="I40" s="2">
        <f t="shared" si="1"/>
        <v>0</v>
      </c>
    </row>
    <row r="41" spans="1:9" x14ac:dyDescent="0.25">
      <c r="A41" s="2">
        <v>36</v>
      </c>
      <c r="B41" s="2"/>
      <c r="C41" s="2"/>
      <c r="D41" s="2">
        <f t="shared" si="0"/>
        <v>0</v>
      </c>
      <c r="F41" s="2">
        <v>36</v>
      </c>
      <c r="G41" s="2"/>
      <c r="H41" s="2"/>
      <c r="I41" s="2">
        <f t="shared" si="1"/>
        <v>0</v>
      </c>
    </row>
    <row r="42" spans="1:9" x14ac:dyDescent="0.25">
      <c r="A42" s="2">
        <v>37</v>
      </c>
      <c r="B42" s="2"/>
      <c r="C42" s="2"/>
      <c r="D42" s="2">
        <f t="shared" si="0"/>
        <v>0</v>
      </c>
      <c r="F42" s="2">
        <v>37</v>
      </c>
      <c r="G42" s="2"/>
      <c r="H42" s="2"/>
      <c r="I42" s="2">
        <f t="shared" si="1"/>
        <v>0</v>
      </c>
    </row>
    <row r="43" spans="1:9" x14ac:dyDescent="0.25">
      <c r="A43" s="2">
        <v>38</v>
      </c>
      <c r="B43" s="2"/>
      <c r="C43" s="2"/>
      <c r="D43" s="2">
        <f t="shared" si="0"/>
        <v>0</v>
      </c>
      <c r="F43" s="2">
        <v>38</v>
      </c>
      <c r="G43" s="2"/>
      <c r="H43" s="2"/>
      <c r="I43" s="2">
        <f t="shared" si="1"/>
        <v>0</v>
      </c>
    </row>
    <row r="44" spans="1:9" x14ac:dyDescent="0.25">
      <c r="A44" s="2">
        <v>39</v>
      </c>
      <c r="B44" s="2"/>
      <c r="C44" s="2"/>
      <c r="D44" s="2">
        <f t="shared" si="0"/>
        <v>0</v>
      </c>
      <c r="F44" s="2">
        <v>39</v>
      </c>
      <c r="G44" s="2"/>
      <c r="H44" s="2"/>
      <c r="I44" s="2">
        <f t="shared" si="1"/>
        <v>0</v>
      </c>
    </row>
    <row r="45" spans="1:9" x14ac:dyDescent="0.25">
      <c r="A45" s="2">
        <v>40</v>
      </c>
      <c r="B45" s="2"/>
      <c r="C45" s="2"/>
      <c r="D45" s="2">
        <f t="shared" si="0"/>
        <v>0</v>
      </c>
      <c r="F45" s="2">
        <v>40</v>
      </c>
      <c r="G45" s="2"/>
      <c r="H45" s="2"/>
      <c r="I45" s="2">
        <f t="shared" si="1"/>
        <v>0</v>
      </c>
    </row>
    <row r="46" spans="1:9" x14ac:dyDescent="0.25">
      <c r="A46" s="2">
        <v>41</v>
      </c>
      <c r="B46" s="2"/>
      <c r="C46" s="2"/>
      <c r="D46" s="2">
        <f t="shared" si="0"/>
        <v>0</v>
      </c>
      <c r="F46" s="2">
        <v>41</v>
      </c>
      <c r="G46" s="2"/>
      <c r="H46" s="2"/>
      <c r="I46" s="2">
        <f t="shared" si="1"/>
        <v>0</v>
      </c>
    </row>
    <row r="47" spans="1:9" x14ac:dyDescent="0.25">
      <c r="A47" s="2">
        <v>42</v>
      </c>
      <c r="B47" s="2"/>
      <c r="C47" s="2"/>
      <c r="D47" s="2">
        <f t="shared" si="0"/>
        <v>0</v>
      </c>
      <c r="F47" s="2">
        <v>42</v>
      </c>
      <c r="G47" s="2"/>
      <c r="H47" s="2"/>
      <c r="I47" s="2">
        <f t="shared" si="1"/>
        <v>0</v>
      </c>
    </row>
    <row r="48" spans="1:9" x14ac:dyDescent="0.25">
      <c r="A48" s="2">
        <v>43</v>
      </c>
      <c r="B48" s="2"/>
      <c r="C48" s="2"/>
      <c r="D48" s="2">
        <f t="shared" si="0"/>
        <v>0</v>
      </c>
      <c r="F48" s="2">
        <v>43</v>
      </c>
      <c r="G48" s="2"/>
      <c r="H48" s="2"/>
      <c r="I48" s="2">
        <f t="shared" si="1"/>
        <v>0</v>
      </c>
    </row>
    <row r="49" spans="1:9" x14ac:dyDescent="0.25">
      <c r="A49" s="2">
        <v>44</v>
      </c>
      <c r="B49" s="2"/>
      <c r="C49" s="2"/>
      <c r="D49" s="2">
        <f t="shared" si="0"/>
        <v>0</v>
      </c>
      <c r="F49" s="2">
        <v>44</v>
      </c>
      <c r="G49" s="2"/>
      <c r="H49" s="2"/>
      <c r="I49" s="2">
        <f t="shared" si="1"/>
        <v>0</v>
      </c>
    </row>
    <row r="50" spans="1:9" x14ac:dyDescent="0.25">
      <c r="A50" s="2">
        <v>45</v>
      </c>
      <c r="B50" s="2"/>
      <c r="C50" s="2"/>
      <c r="D50" s="2">
        <f t="shared" si="0"/>
        <v>0</v>
      </c>
      <c r="F50" s="2">
        <v>45</v>
      </c>
      <c r="G50" s="2"/>
      <c r="H50" s="2"/>
      <c r="I50" s="2">
        <f t="shared" si="1"/>
        <v>0</v>
      </c>
    </row>
    <row r="51" spans="1:9" x14ac:dyDescent="0.25">
      <c r="A51" s="2">
        <v>46</v>
      </c>
      <c r="B51" s="2"/>
      <c r="C51" s="2"/>
      <c r="D51" s="2">
        <f t="shared" si="0"/>
        <v>0</v>
      </c>
      <c r="F51" s="2">
        <v>46</v>
      </c>
      <c r="G51" s="2"/>
      <c r="H51" s="2"/>
      <c r="I51" s="2">
        <f t="shared" si="1"/>
        <v>0</v>
      </c>
    </row>
    <row r="52" spans="1:9" x14ac:dyDescent="0.25">
      <c r="A52" s="2">
        <v>47</v>
      </c>
      <c r="B52" s="2"/>
      <c r="C52" s="2"/>
      <c r="D52" s="2">
        <f t="shared" si="0"/>
        <v>0</v>
      </c>
      <c r="F52" s="2">
        <v>47</v>
      </c>
      <c r="G52" s="2"/>
      <c r="H52" s="2"/>
      <c r="I52" s="2">
        <f t="shared" si="1"/>
        <v>0</v>
      </c>
    </row>
    <row r="53" spans="1:9" x14ac:dyDescent="0.25">
      <c r="A53" s="2">
        <v>48</v>
      </c>
      <c r="B53" s="2"/>
      <c r="C53" s="2"/>
      <c r="D53" s="2">
        <f t="shared" si="0"/>
        <v>0</v>
      </c>
      <c r="F53" s="2">
        <v>48</v>
      </c>
      <c r="G53" s="2"/>
      <c r="H53" s="2"/>
      <c r="I53" s="2">
        <f t="shared" si="1"/>
        <v>0</v>
      </c>
    </row>
    <row r="54" spans="1:9" x14ac:dyDescent="0.25">
      <c r="A54" s="2">
        <v>49</v>
      </c>
      <c r="B54" s="2"/>
      <c r="C54" s="2"/>
      <c r="D54" s="2">
        <f t="shared" si="0"/>
        <v>0</v>
      </c>
      <c r="F54" s="2">
        <v>49</v>
      </c>
      <c r="G54" s="2"/>
      <c r="H54" s="2"/>
      <c r="I54" s="2">
        <f t="shared" si="1"/>
        <v>0</v>
      </c>
    </row>
    <row r="55" spans="1:9" x14ac:dyDescent="0.25">
      <c r="A55" s="2">
        <v>50</v>
      </c>
      <c r="B55" s="2"/>
      <c r="C55" s="2"/>
      <c r="D55" s="2">
        <f t="shared" si="0"/>
        <v>0</v>
      </c>
      <c r="F55" s="2">
        <v>50</v>
      </c>
      <c r="G55" s="2"/>
      <c r="H55" s="2"/>
      <c r="I55" s="2">
        <f t="shared" si="1"/>
        <v>0</v>
      </c>
    </row>
    <row r="56" spans="1:9" x14ac:dyDescent="0.25">
      <c r="A56" s="2">
        <v>51</v>
      </c>
      <c r="B56" s="2"/>
      <c r="C56" s="2"/>
      <c r="D56" s="2">
        <f t="shared" si="0"/>
        <v>0</v>
      </c>
      <c r="F56" s="2">
        <v>51</v>
      </c>
      <c r="G56" s="2"/>
      <c r="H56" s="2"/>
      <c r="I56" s="2">
        <f t="shared" si="1"/>
        <v>0</v>
      </c>
    </row>
    <row r="57" spans="1:9" x14ac:dyDescent="0.25">
      <c r="A57" s="2">
        <v>52</v>
      </c>
      <c r="B57" s="2"/>
      <c r="C57" s="2"/>
      <c r="D57" s="2">
        <f t="shared" si="0"/>
        <v>0</v>
      </c>
      <c r="F57" s="2">
        <v>52</v>
      </c>
      <c r="G57" s="2"/>
      <c r="H57" s="2"/>
      <c r="I57" s="2">
        <f t="shared" si="1"/>
        <v>0</v>
      </c>
    </row>
    <row r="58" spans="1:9" x14ac:dyDescent="0.25">
      <c r="A58" s="2">
        <v>53</v>
      </c>
      <c r="B58" s="2"/>
      <c r="C58" s="2"/>
      <c r="D58" s="2">
        <f t="shared" si="0"/>
        <v>0</v>
      </c>
      <c r="F58" s="2">
        <v>53</v>
      </c>
      <c r="G58" s="2"/>
      <c r="H58" s="2"/>
      <c r="I58" s="2">
        <f t="shared" si="1"/>
        <v>0</v>
      </c>
    </row>
    <row r="59" spans="1:9" x14ac:dyDescent="0.25">
      <c r="A59" s="2">
        <v>54</v>
      </c>
      <c r="B59" s="2"/>
      <c r="C59" s="2"/>
      <c r="D59" s="2">
        <f t="shared" si="0"/>
        <v>0</v>
      </c>
      <c r="F59" s="2">
        <v>54</v>
      </c>
      <c r="G59" s="2"/>
      <c r="H59" s="2"/>
      <c r="I59" s="2">
        <f t="shared" si="1"/>
        <v>0</v>
      </c>
    </row>
    <row r="60" spans="1:9" x14ac:dyDescent="0.25">
      <c r="A60" s="2">
        <v>55</v>
      </c>
      <c r="B60" s="2"/>
      <c r="C60" s="2"/>
      <c r="D60" s="2">
        <f t="shared" si="0"/>
        <v>0</v>
      </c>
      <c r="F60" s="2">
        <v>55</v>
      </c>
      <c r="G60" s="2"/>
      <c r="H60" s="2"/>
      <c r="I60" s="2">
        <f t="shared" si="1"/>
        <v>0</v>
      </c>
    </row>
    <row r="61" spans="1:9" x14ac:dyDescent="0.25">
      <c r="A61" s="2">
        <v>56</v>
      </c>
      <c r="B61" s="2"/>
      <c r="C61" s="2"/>
      <c r="D61" s="2">
        <f t="shared" si="0"/>
        <v>0</v>
      </c>
      <c r="F61" s="2">
        <v>56</v>
      </c>
      <c r="G61" s="2"/>
      <c r="H61" s="2"/>
      <c r="I61" s="2">
        <f t="shared" si="1"/>
        <v>0</v>
      </c>
    </row>
    <row r="62" spans="1:9" x14ac:dyDescent="0.25">
      <c r="A62" s="2">
        <v>57</v>
      </c>
      <c r="B62" s="2"/>
      <c r="C62" s="2"/>
      <c r="D62" s="2">
        <f t="shared" si="0"/>
        <v>0</v>
      </c>
      <c r="F62" s="2">
        <v>57</v>
      </c>
      <c r="G62" s="2"/>
      <c r="H62" s="2"/>
      <c r="I62" s="2">
        <f t="shared" si="1"/>
        <v>0</v>
      </c>
    </row>
    <row r="63" spans="1:9" x14ac:dyDescent="0.25">
      <c r="A63" s="2">
        <v>58</v>
      </c>
      <c r="B63" s="2"/>
      <c r="C63" s="2"/>
      <c r="D63" s="2">
        <f t="shared" si="0"/>
        <v>0</v>
      </c>
      <c r="F63" s="2">
        <v>58</v>
      </c>
      <c r="G63" s="2"/>
      <c r="H63" s="2"/>
      <c r="I63" s="2">
        <f t="shared" si="1"/>
        <v>0</v>
      </c>
    </row>
    <row r="64" spans="1:9" x14ac:dyDescent="0.25">
      <c r="A64" s="2">
        <v>59</v>
      </c>
      <c r="B64" s="2"/>
      <c r="C64" s="2"/>
      <c r="D64" s="2">
        <f t="shared" si="0"/>
        <v>0</v>
      </c>
      <c r="F64" s="2">
        <v>59</v>
      </c>
      <c r="G64" s="2"/>
      <c r="H64" s="2"/>
      <c r="I64" s="2">
        <f t="shared" si="1"/>
        <v>0</v>
      </c>
    </row>
    <row r="65" spans="1:9" x14ac:dyDescent="0.25">
      <c r="A65" s="2">
        <v>60</v>
      </c>
      <c r="B65" s="2"/>
      <c r="C65" s="2"/>
      <c r="D65" s="2">
        <f t="shared" si="0"/>
        <v>0</v>
      </c>
      <c r="F65" s="2">
        <v>60</v>
      </c>
      <c r="G65" s="2"/>
      <c r="H65" s="2"/>
      <c r="I65" s="2">
        <f t="shared" si="1"/>
        <v>0</v>
      </c>
    </row>
    <row r="66" spans="1:9" x14ac:dyDescent="0.25">
      <c r="A66" s="2">
        <v>61</v>
      </c>
      <c r="B66" s="2"/>
      <c r="C66" s="2"/>
      <c r="D66" s="2">
        <f t="shared" si="0"/>
        <v>0</v>
      </c>
      <c r="F66" s="2">
        <v>61</v>
      </c>
      <c r="G66" s="2"/>
      <c r="H66" s="2"/>
      <c r="I66" s="2">
        <f t="shared" si="1"/>
        <v>0</v>
      </c>
    </row>
    <row r="67" spans="1:9" x14ac:dyDescent="0.25">
      <c r="A67" s="2">
        <v>62</v>
      </c>
      <c r="B67" s="2"/>
      <c r="C67" s="2"/>
      <c r="D67" s="2">
        <f t="shared" si="0"/>
        <v>0</v>
      </c>
      <c r="F67" s="2">
        <v>62</v>
      </c>
      <c r="G67" s="2"/>
      <c r="H67" s="2"/>
      <c r="I67" s="2">
        <f t="shared" si="1"/>
        <v>0</v>
      </c>
    </row>
    <row r="68" spans="1:9" x14ac:dyDescent="0.25">
      <c r="A68" s="2">
        <v>63</v>
      </c>
      <c r="B68" s="2"/>
      <c r="C68" s="2"/>
      <c r="D68" s="2">
        <f t="shared" si="0"/>
        <v>0</v>
      </c>
      <c r="F68" s="2">
        <v>63</v>
      </c>
      <c r="G68" s="2"/>
      <c r="H68" s="2"/>
      <c r="I68" s="2">
        <f t="shared" si="1"/>
        <v>0</v>
      </c>
    </row>
    <row r="69" spans="1:9" x14ac:dyDescent="0.25">
      <c r="A69" s="2">
        <v>64</v>
      </c>
      <c r="B69" s="2"/>
      <c r="C69" s="2"/>
      <c r="D69" s="2">
        <f t="shared" si="0"/>
        <v>0</v>
      </c>
      <c r="F69" s="2">
        <v>64</v>
      </c>
      <c r="G69" s="2"/>
      <c r="H69" s="2"/>
      <c r="I69" s="2">
        <f t="shared" si="1"/>
        <v>0</v>
      </c>
    </row>
    <row r="70" spans="1:9" x14ac:dyDescent="0.25">
      <c r="A70" s="2">
        <v>65</v>
      </c>
      <c r="B70" s="2"/>
      <c r="C70" s="2"/>
      <c r="D70" s="2">
        <f t="shared" si="0"/>
        <v>0</v>
      </c>
      <c r="F70" s="2">
        <v>65</v>
      </c>
      <c r="G70" s="2"/>
      <c r="H70" s="2"/>
      <c r="I70" s="2">
        <f t="shared" si="1"/>
        <v>0</v>
      </c>
    </row>
    <row r="71" spans="1:9" x14ac:dyDescent="0.25">
      <c r="A71" s="2">
        <v>66</v>
      </c>
      <c r="B71" s="2"/>
      <c r="C71" s="2"/>
      <c r="D71" s="2">
        <f t="shared" ref="D71:D134" si="2">ABS(B71-C71)</f>
        <v>0</v>
      </c>
      <c r="F71" s="2">
        <v>66</v>
      </c>
      <c r="G71" s="2"/>
      <c r="H71" s="2"/>
      <c r="I71" s="2">
        <f t="shared" ref="I71:I134" si="3">ABS(G71-H71)</f>
        <v>0</v>
      </c>
    </row>
    <row r="72" spans="1:9" x14ac:dyDescent="0.25">
      <c r="A72" s="2">
        <v>67</v>
      </c>
      <c r="B72" s="2"/>
      <c r="C72" s="2"/>
      <c r="D72" s="2">
        <f t="shared" si="2"/>
        <v>0</v>
      </c>
      <c r="F72" s="2">
        <v>67</v>
      </c>
      <c r="G72" s="2"/>
      <c r="H72" s="2"/>
      <c r="I72" s="2">
        <f t="shared" si="3"/>
        <v>0</v>
      </c>
    </row>
    <row r="73" spans="1:9" x14ac:dyDescent="0.25">
      <c r="A73" s="2">
        <v>68</v>
      </c>
      <c r="B73" s="2"/>
      <c r="C73" s="2"/>
      <c r="D73" s="2">
        <f t="shared" si="2"/>
        <v>0</v>
      </c>
      <c r="F73" s="2">
        <v>68</v>
      </c>
      <c r="G73" s="2"/>
      <c r="H73" s="2"/>
      <c r="I73" s="2">
        <f t="shared" si="3"/>
        <v>0</v>
      </c>
    </row>
    <row r="74" spans="1:9" x14ac:dyDescent="0.25">
      <c r="A74" s="2">
        <v>69</v>
      </c>
      <c r="B74" s="2"/>
      <c r="C74" s="2"/>
      <c r="D74" s="2">
        <f t="shared" si="2"/>
        <v>0</v>
      </c>
      <c r="F74" s="2">
        <v>69</v>
      </c>
      <c r="G74" s="2"/>
      <c r="H74" s="2"/>
      <c r="I74" s="2">
        <f t="shared" si="3"/>
        <v>0</v>
      </c>
    </row>
    <row r="75" spans="1:9" x14ac:dyDescent="0.25">
      <c r="A75" s="2">
        <v>70</v>
      </c>
      <c r="B75" s="2"/>
      <c r="C75" s="2"/>
      <c r="D75" s="2">
        <f t="shared" si="2"/>
        <v>0</v>
      </c>
      <c r="F75" s="2">
        <v>70</v>
      </c>
      <c r="G75" s="2"/>
      <c r="H75" s="2"/>
      <c r="I75" s="2">
        <f t="shared" si="3"/>
        <v>0</v>
      </c>
    </row>
    <row r="76" spans="1:9" x14ac:dyDescent="0.25">
      <c r="A76" s="2">
        <v>71</v>
      </c>
      <c r="B76" s="2"/>
      <c r="C76" s="2"/>
      <c r="D76" s="2">
        <f t="shared" si="2"/>
        <v>0</v>
      </c>
      <c r="F76" s="2">
        <v>71</v>
      </c>
      <c r="G76" s="2"/>
      <c r="H76" s="2"/>
      <c r="I76" s="2">
        <f t="shared" si="3"/>
        <v>0</v>
      </c>
    </row>
    <row r="77" spans="1:9" x14ac:dyDescent="0.25">
      <c r="A77" s="2">
        <v>72</v>
      </c>
      <c r="B77" s="2"/>
      <c r="C77" s="2"/>
      <c r="D77" s="2">
        <f t="shared" si="2"/>
        <v>0</v>
      </c>
      <c r="F77" s="2">
        <v>72</v>
      </c>
      <c r="G77" s="2"/>
      <c r="H77" s="2"/>
      <c r="I77" s="2">
        <f t="shared" si="3"/>
        <v>0</v>
      </c>
    </row>
    <row r="78" spans="1:9" x14ac:dyDescent="0.25">
      <c r="A78" s="2">
        <v>73</v>
      </c>
      <c r="B78" s="2"/>
      <c r="C78" s="2"/>
      <c r="D78" s="2">
        <f t="shared" si="2"/>
        <v>0</v>
      </c>
      <c r="F78" s="2">
        <v>73</v>
      </c>
      <c r="G78" s="2"/>
      <c r="H78" s="2"/>
      <c r="I78" s="2">
        <f t="shared" si="3"/>
        <v>0</v>
      </c>
    </row>
    <row r="79" spans="1:9" x14ac:dyDescent="0.25">
      <c r="A79" s="2">
        <v>74</v>
      </c>
      <c r="B79" s="2"/>
      <c r="C79" s="2"/>
      <c r="D79" s="2">
        <f t="shared" si="2"/>
        <v>0</v>
      </c>
      <c r="F79" s="2">
        <v>74</v>
      </c>
      <c r="G79" s="2"/>
      <c r="H79" s="2"/>
      <c r="I79" s="2">
        <f t="shared" si="3"/>
        <v>0</v>
      </c>
    </row>
    <row r="80" spans="1:9" x14ac:dyDescent="0.25">
      <c r="A80" s="2">
        <v>75</v>
      </c>
      <c r="B80" s="2"/>
      <c r="C80" s="2"/>
      <c r="D80" s="2">
        <f t="shared" si="2"/>
        <v>0</v>
      </c>
      <c r="F80" s="2">
        <v>75</v>
      </c>
      <c r="G80" s="2"/>
      <c r="H80" s="2"/>
      <c r="I80" s="2">
        <f t="shared" si="3"/>
        <v>0</v>
      </c>
    </row>
    <row r="81" spans="1:9" x14ac:dyDescent="0.25">
      <c r="A81" s="2">
        <v>76</v>
      </c>
      <c r="B81" s="2"/>
      <c r="C81" s="2"/>
      <c r="D81" s="2">
        <f t="shared" si="2"/>
        <v>0</v>
      </c>
      <c r="F81" s="2">
        <v>76</v>
      </c>
      <c r="G81" s="2"/>
      <c r="H81" s="2"/>
      <c r="I81" s="2">
        <f t="shared" si="3"/>
        <v>0</v>
      </c>
    </row>
    <row r="82" spans="1:9" x14ac:dyDescent="0.25">
      <c r="A82" s="2">
        <v>77</v>
      </c>
      <c r="B82" s="2"/>
      <c r="C82" s="2"/>
      <c r="D82" s="2">
        <f t="shared" si="2"/>
        <v>0</v>
      </c>
      <c r="F82" s="2">
        <v>77</v>
      </c>
      <c r="G82" s="2"/>
      <c r="H82" s="2"/>
      <c r="I82" s="2">
        <f t="shared" si="3"/>
        <v>0</v>
      </c>
    </row>
    <row r="83" spans="1:9" x14ac:dyDescent="0.25">
      <c r="A83" s="2">
        <v>78</v>
      </c>
      <c r="B83" s="2"/>
      <c r="C83" s="2"/>
      <c r="D83" s="2">
        <f t="shared" si="2"/>
        <v>0</v>
      </c>
      <c r="F83" s="2">
        <v>78</v>
      </c>
      <c r="G83" s="2"/>
      <c r="H83" s="2"/>
      <c r="I83" s="2">
        <f t="shared" si="3"/>
        <v>0</v>
      </c>
    </row>
    <row r="84" spans="1:9" x14ac:dyDescent="0.25">
      <c r="A84" s="2">
        <v>79</v>
      </c>
      <c r="B84" s="2"/>
      <c r="C84" s="2"/>
      <c r="D84" s="2">
        <f t="shared" si="2"/>
        <v>0</v>
      </c>
      <c r="F84" s="2">
        <v>79</v>
      </c>
      <c r="G84" s="2"/>
      <c r="H84" s="2"/>
      <c r="I84" s="2">
        <f t="shared" si="3"/>
        <v>0</v>
      </c>
    </row>
    <row r="85" spans="1:9" x14ac:dyDescent="0.25">
      <c r="A85" s="2">
        <v>80</v>
      </c>
      <c r="B85" s="2"/>
      <c r="C85" s="2"/>
      <c r="D85" s="2">
        <f t="shared" si="2"/>
        <v>0</v>
      </c>
      <c r="F85" s="2">
        <v>80</v>
      </c>
      <c r="G85" s="2"/>
      <c r="H85" s="2"/>
      <c r="I85" s="2">
        <f t="shared" si="3"/>
        <v>0</v>
      </c>
    </row>
    <row r="86" spans="1:9" x14ac:dyDescent="0.25">
      <c r="A86" s="2">
        <v>81</v>
      </c>
      <c r="B86" s="2"/>
      <c r="C86" s="2"/>
      <c r="D86" s="2">
        <f t="shared" si="2"/>
        <v>0</v>
      </c>
      <c r="F86" s="2">
        <v>81</v>
      </c>
      <c r="G86" s="2"/>
      <c r="H86" s="2"/>
      <c r="I86" s="2">
        <f t="shared" si="3"/>
        <v>0</v>
      </c>
    </row>
    <row r="87" spans="1:9" x14ac:dyDescent="0.25">
      <c r="A87" s="2">
        <v>82</v>
      </c>
      <c r="B87" s="2"/>
      <c r="C87" s="2"/>
      <c r="D87" s="2">
        <f t="shared" si="2"/>
        <v>0</v>
      </c>
      <c r="F87" s="2">
        <v>82</v>
      </c>
      <c r="G87" s="2"/>
      <c r="H87" s="2"/>
      <c r="I87" s="2">
        <f t="shared" si="3"/>
        <v>0</v>
      </c>
    </row>
    <row r="88" spans="1:9" x14ac:dyDescent="0.25">
      <c r="A88" s="2">
        <v>83</v>
      </c>
      <c r="B88" s="2"/>
      <c r="C88" s="2"/>
      <c r="D88" s="2">
        <f t="shared" si="2"/>
        <v>0</v>
      </c>
      <c r="F88" s="2">
        <v>83</v>
      </c>
      <c r="G88" s="2"/>
      <c r="H88" s="2"/>
      <c r="I88" s="2">
        <f t="shared" si="3"/>
        <v>0</v>
      </c>
    </row>
    <row r="89" spans="1:9" x14ac:dyDescent="0.25">
      <c r="A89" s="2">
        <v>84</v>
      </c>
      <c r="B89" s="2"/>
      <c r="C89" s="2"/>
      <c r="D89" s="2">
        <f t="shared" si="2"/>
        <v>0</v>
      </c>
      <c r="F89" s="2">
        <v>84</v>
      </c>
      <c r="G89" s="2"/>
      <c r="H89" s="2"/>
      <c r="I89" s="2">
        <f t="shared" si="3"/>
        <v>0</v>
      </c>
    </row>
    <row r="90" spans="1:9" x14ac:dyDescent="0.25">
      <c r="A90" s="2">
        <v>85</v>
      </c>
      <c r="B90" s="2"/>
      <c r="C90" s="2"/>
      <c r="D90" s="2">
        <f t="shared" si="2"/>
        <v>0</v>
      </c>
      <c r="F90" s="2">
        <v>85</v>
      </c>
      <c r="G90" s="2"/>
      <c r="H90" s="2"/>
      <c r="I90" s="2">
        <f t="shared" si="3"/>
        <v>0</v>
      </c>
    </row>
    <row r="91" spans="1:9" x14ac:dyDescent="0.25">
      <c r="A91" s="2">
        <v>86</v>
      </c>
      <c r="B91" s="2"/>
      <c r="C91" s="2"/>
      <c r="D91" s="2">
        <f t="shared" si="2"/>
        <v>0</v>
      </c>
      <c r="F91" s="2">
        <v>86</v>
      </c>
      <c r="G91" s="2"/>
      <c r="H91" s="2"/>
      <c r="I91" s="2">
        <f t="shared" si="3"/>
        <v>0</v>
      </c>
    </row>
    <row r="92" spans="1:9" x14ac:dyDescent="0.25">
      <c r="A92" s="2">
        <v>87</v>
      </c>
      <c r="B92" s="2"/>
      <c r="C92" s="2"/>
      <c r="D92" s="2">
        <f t="shared" si="2"/>
        <v>0</v>
      </c>
      <c r="F92" s="2">
        <v>87</v>
      </c>
      <c r="G92" s="2"/>
      <c r="H92" s="2"/>
      <c r="I92" s="2">
        <f t="shared" si="3"/>
        <v>0</v>
      </c>
    </row>
    <row r="93" spans="1:9" x14ac:dyDescent="0.25">
      <c r="A93" s="2">
        <v>88</v>
      </c>
      <c r="B93" s="2"/>
      <c r="C93" s="2"/>
      <c r="D93" s="2">
        <f t="shared" si="2"/>
        <v>0</v>
      </c>
      <c r="F93" s="2">
        <v>88</v>
      </c>
      <c r="G93" s="2"/>
      <c r="H93" s="2"/>
      <c r="I93" s="2">
        <f t="shared" si="3"/>
        <v>0</v>
      </c>
    </row>
    <row r="94" spans="1:9" x14ac:dyDescent="0.25">
      <c r="A94" s="2">
        <v>89</v>
      </c>
      <c r="B94" s="2"/>
      <c r="C94" s="2"/>
      <c r="D94" s="2">
        <f t="shared" si="2"/>
        <v>0</v>
      </c>
      <c r="F94" s="2">
        <v>89</v>
      </c>
      <c r="G94" s="2"/>
      <c r="H94" s="2"/>
      <c r="I94" s="2">
        <f t="shared" si="3"/>
        <v>0</v>
      </c>
    </row>
    <row r="95" spans="1:9" x14ac:dyDescent="0.25">
      <c r="A95" s="2">
        <v>90</v>
      </c>
      <c r="B95" s="2"/>
      <c r="C95" s="2"/>
      <c r="D95" s="2">
        <f t="shared" si="2"/>
        <v>0</v>
      </c>
      <c r="F95" s="2">
        <v>90</v>
      </c>
      <c r="G95" s="2"/>
      <c r="H95" s="2"/>
      <c r="I95" s="2">
        <f t="shared" si="3"/>
        <v>0</v>
      </c>
    </row>
    <row r="96" spans="1:9" x14ac:dyDescent="0.25">
      <c r="A96" s="2">
        <v>91</v>
      </c>
      <c r="B96" s="2"/>
      <c r="C96" s="2"/>
      <c r="D96" s="2">
        <f t="shared" si="2"/>
        <v>0</v>
      </c>
      <c r="F96" s="2">
        <v>91</v>
      </c>
      <c r="G96" s="2"/>
      <c r="H96" s="2"/>
      <c r="I96" s="2">
        <f t="shared" si="3"/>
        <v>0</v>
      </c>
    </row>
    <row r="97" spans="1:9" x14ac:dyDescent="0.25">
      <c r="A97" s="2">
        <v>92</v>
      </c>
      <c r="B97" s="2"/>
      <c r="C97" s="2"/>
      <c r="D97" s="2">
        <f t="shared" si="2"/>
        <v>0</v>
      </c>
      <c r="F97" s="2">
        <v>92</v>
      </c>
      <c r="G97" s="2"/>
      <c r="H97" s="2"/>
      <c r="I97" s="2">
        <f t="shared" si="3"/>
        <v>0</v>
      </c>
    </row>
    <row r="98" spans="1:9" x14ac:dyDescent="0.25">
      <c r="A98" s="2">
        <v>93</v>
      </c>
      <c r="B98" s="2"/>
      <c r="C98" s="2"/>
      <c r="D98" s="2">
        <f t="shared" si="2"/>
        <v>0</v>
      </c>
      <c r="F98" s="2">
        <v>93</v>
      </c>
      <c r="G98" s="2"/>
      <c r="H98" s="2"/>
      <c r="I98" s="2">
        <f t="shared" si="3"/>
        <v>0</v>
      </c>
    </row>
    <row r="99" spans="1:9" x14ac:dyDescent="0.25">
      <c r="A99" s="2">
        <v>94</v>
      </c>
      <c r="B99" s="2"/>
      <c r="C99" s="2"/>
      <c r="D99" s="2">
        <f t="shared" si="2"/>
        <v>0</v>
      </c>
      <c r="F99" s="2">
        <v>94</v>
      </c>
      <c r="G99" s="2"/>
      <c r="H99" s="2"/>
      <c r="I99" s="2">
        <f t="shared" si="3"/>
        <v>0</v>
      </c>
    </row>
    <row r="100" spans="1:9" x14ac:dyDescent="0.25">
      <c r="A100" s="2">
        <v>95</v>
      </c>
      <c r="B100" s="2"/>
      <c r="C100" s="2"/>
      <c r="D100" s="2">
        <f t="shared" si="2"/>
        <v>0</v>
      </c>
      <c r="F100" s="2">
        <v>95</v>
      </c>
      <c r="G100" s="2"/>
      <c r="H100" s="2"/>
      <c r="I100" s="2">
        <f t="shared" si="3"/>
        <v>0</v>
      </c>
    </row>
    <row r="101" spans="1:9" x14ac:dyDescent="0.25">
      <c r="A101" s="2">
        <v>96</v>
      </c>
      <c r="B101" s="2"/>
      <c r="C101" s="2"/>
      <c r="D101" s="2">
        <f t="shared" si="2"/>
        <v>0</v>
      </c>
      <c r="F101" s="2">
        <v>96</v>
      </c>
      <c r="G101" s="2"/>
      <c r="H101" s="2"/>
      <c r="I101" s="2">
        <f t="shared" si="3"/>
        <v>0</v>
      </c>
    </row>
    <row r="102" spans="1:9" x14ac:dyDescent="0.25">
      <c r="A102" s="2">
        <v>97</v>
      </c>
      <c r="B102" s="2"/>
      <c r="C102" s="2"/>
      <c r="D102" s="2">
        <f t="shared" si="2"/>
        <v>0</v>
      </c>
      <c r="F102" s="2">
        <v>97</v>
      </c>
      <c r="G102" s="2"/>
      <c r="H102" s="2"/>
      <c r="I102" s="2">
        <f t="shared" si="3"/>
        <v>0</v>
      </c>
    </row>
    <row r="103" spans="1:9" x14ac:dyDescent="0.25">
      <c r="A103" s="2">
        <v>98</v>
      </c>
      <c r="B103" s="2"/>
      <c r="C103" s="2"/>
      <c r="D103" s="2">
        <f t="shared" si="2"/>
        <v>0</v>
      </c>
      <c r="F103" s="2">
        <v>98</v>
      </c>
      <c r="G103" s="2"/>
      <c r="H103" s="2"/>
      <c r="I103" s="2">
        <f t="shared" si="3"/>
        <v>0</v>
      </c>
    </row>
    <row r="104" spans="1:9" x14ac:dyDescent="0.25">
      <c r="A104" s="2">
        <v>99</v>
      </c>
      <c r="B104" s="2"/>
      <c r="C104" s="2"/>
      <c r="D104" s="2">
        <f t="shared" si="2"/>
        <v>0</v>
      </c>
      <c r="F104" s="2">
        <v>99</v>
      </c>
      <c r="G104" s="2"/>
      <c r="H104" s="2"/>
      <c r="I104" s="2">
        <f t="shared" si="3"/>
        <v>0</v>
      </c>
    </row>
    <row r="105" spans="1:9" x14ac:dyDescent="0.25">
      <c r="A105" s="2">
        <v>100</v>
      </c>
      <c r="B105" s="2"/>
      <c r="C105" s="2"/>
      <c r="D105" s="2">
        <f t="shared" si="2"/>
        <v>0</v>
      </c>
      <c r="F105" s="2">
        <v>100</v>
      </c>
      <c r="G105" s="2"/>
      <c r="H105" s="2"/>
      <c r="I105" s="2">
        <f t="shared" si="3"/>
        <v>0</v>
      </c>
    </row>
    <row r="106" spans="1:9" x14ac:dyDescent="0.25">
      <c r="A106" s="2">
        <v>101</v>
      </c>
      <c r="B106" s="2"/>
      <c r="C106" s="2"/>
      <c r="D106" s="2">
        <f t="shared" si="2"/>
        <v>0</v>
      </c>
      <c r="F106" s="2">
        <v>101</v>
      </c>
      <c r="G106" s="2"/>
      <c r="H106" s="2"/>
      <c r="I106" s="2">
        <f t="shared" si="3"/>
        <v>0</v>
      </c>
    </row>
    <row r="107" spans="1:9" x14ac:dyDescent="0.25">
      <c r="A107" s="2">
        <v>102</v>
      </c>
      <c r="B107" s="2"/>
      <c r="C107" s="2"/>
      <c r="D107" s="2">
        <f t="shared" si="2"/>
        <v>0</v>
      </c>
      <c r="F107" s="2">
        <v>102</v>
      </c>
      <c r="G107" s="2"/>
      <c r="H107" s="2"/>
      <c r="I107" s="2">
        <f t="shared" si="3"/>
        <v>0</v>
      </c>
    </row>
    <row r="108" spans="1:9" x14ac:dyDescent="0.25">
      <c r="A108" s="2">
        <v>103</v>
      </c>
      <c r="B108" s="2"/>
      <c r="C108" s="2"/>
      <c r="D108" s="2">
        <f t="shared" si="2"/>
        <v>0</v>
      </c>
      <c r="F108" s="2">
        <v>103</v>
      </c>
      <c r="G108" s="2"/>
      <c r="H108" s="2"/>
      <c r="I108" s="2">
        <f t="shared" si="3"/>
        <v>0</v>
      </c>
    </row>
    <row r="109" spans="1:9" x14ac:dyDescent="0.25">
      <c r="A109" s="2">
        <v>104</v>
      </c>
      <c r="B109" s="2"/>
      <c r="C109" s="2"/>
      <c r="D109" s="2">
        <f t="shared" si="2"/>
        <v>0</v>
      </c>
      <c r="F109" s="2">
        <v>104</v>
      </c>
      <c r="G109" s="2"/>
      <c r="H109" s="2"/>
      <c r="I109" s="2">
        <f t="shared" si="3"/>
        <v>0</v>
      </c>
    </row>
    <row r="110" spans="1:9" x14ac:dyDescent="0.25">
      <c r="A110" s="2">
        <v>105</v>
      </c>
      <c r="B110" s="2"/>
      <c r="C110" s="2"/>
      <c r="D110" s="2">
        <f t="shared" si="2"/>
        <v>0</v>
      </c>
      <c r="F110" s="2">
        <v>105</v>
      </c>
      <c r="G110" s="2"/>
      <c r="H110" s="2"/>
      <c r="I110" s="2">
        <f t="shared" si="3"/>
        <v>0</v>
      </c>
    </row>
    <row r="111" spans="1:9" x14ac:dyDescent="0.25">
      <c r="A111" s="2">
        <v>106</v>
      </c>
      <c r="B111" s="2"/>
      <c r="C111" s="2"/>
      <c r="D111" s="2">
        <f t="shared" si="2"/>
        <v>0</v>
      </c>
      <c r="F111" s="2">
        <v>106</v>
      </c>
      <c r="G111" s="2"/>
      <c r="H111" s="2"/>
      <c r="I111" s="2">
        <f t="shared" si="3"/>
        <v>0</v>
      </c>
    </row>
    <row r="112" spans="1:9" x14ac:dyDescent="0.25">
      <c r="A112" s="2">
        <v>107</v>
      </c>
      <c r="B112" s="2"/>
      <c r="C112" s="2"/>
      <c r="D112" s="2">
        <f t="shared" si="2"/>
        <v>0</v>
      </c>
      <c r="F112" s="2">
        <v>107</v>
      </c>
      <c r="G112" s="2"/>
      <c r="H112" s="2"/>
      <c r="I112" s="2">
        <f t="shared" si="3"/>
        <v>0</v>
      </c>
    </row>
    <row r="113" spans="1:9" x14ac:dyDescent="0.25">
      <c r="A113" s="2">
        <v>108</v>
      </c>
      <c r="B113" s="2"/>
      <c r="C113" s="2"/>
      <c r="D113" s="2">
        <f t="shared" si="2"/>
        <v>0</v>
      </c>
      <c r="F113" s="2">
        <v>108</v>
      </c>
      <c r="G113" s="2"/>
      <c r="H113" s="2"/>
      <c r="I113" s="2">
        <f t="shared" si="3"/>
        <v>0</v>
      </c>
    </row>
    <row r="114" spans="1:9" x14ac:dyDescent="0.25">
      <c r="A114" s="2">
        <v>109</v>
      </c>
      <c r="B114" s="2"/>
      <c r="C114" s="2"/>
      <c r="D114" s="2">
        <f t="shared" si="2"/>
        <v>0</v>
      </c>
      <c r="F114" s="2">
        <v>109</v>
      </c>
      <c r="G114" s="2"/>
      <c r="H114" s="2"/>
      <c r="I114" s="2">
        <f t="shared" si="3"/>
        <v>0</v>
      </c>
    </row>
    <row r="115" spans="1:9" x14ac:dyDescent="0.25">
      <c r="A115" s="2">
        <v>110</v>
      </c>
      <c r="B115" s="2"/>
      <c r="C115" s="2"/>
      <c r="D115" s="2">
        <f t="shared" si="2"/>
        <v>0</v>
      </c>
      <c r="F115" s="2">
        <v>110</v>
      </c>
      <c r="G115" s="2"/>
      <c r="H115" s="2"/>
      <c r="I115" s="2">
        <f t="shared" si="3"/>
        <v>0</v>
      </c>
    </row>
    <row r="116" spans="1:9" x14ac:dyDescent="0.25">
      <c r="A116" s="2">
        <v>111</v>
      </c>
      <c r="B116" s="2"/>
      <c r="C116" s="2"/>
      <c r="D116" s="2">
        <f t="shared" si="2"/>
        <v>0</v>
      </c>
      <c r="F116" s="2">
        <v>111</v>
      </c>
      <c r="G116" s="2"/>
      <c r="H116" s="2"/>
      <c r="I116" s="2">
        <f t="shared" si="3"/>
        <v>0</v>
      </c>
    </row>
    <row r="117" spans="1:9" x14ac:dyDescent="0.25">
      <c r="A117" s="2">
        <v>112</v>
      </c>
      <c r="B117" s="2"/>
      <c r="C117" s="2"/>
      <c r="D117" s="2">
        <f t="shared" si="2"/>
        <v>0</v>
      </c>
      <c r="F117" s="2">
        <v>112</v>
      </c>
      <c r="G117" s="2"/>
      <c r="H117" s="2"/>
      <c r="I117" s="2">
        <f t="shared" si="3"/>
        <v>0</v>
      </c>
    </row>
    <row r="118" spans="1:9" x14ac:dyDescent="0.25">
      <c r="A118" s="2">
        <v>113</v>
      </c>
      <c r="B118" s="2"/>
      <c r="C118" s="2"/>
      <c r="D118" s="2">
        <f t="shared" si="2"/>
        <v>0</v>
      </c>
      <c r="F118" s="2">
        <v>113</v>
      </c>
      <c r="G118" s="2"/>
      <c r="H118" s="2"/>
      <c r="I118" s="2">
        <f t="shared" si="3"/>
        <v>0</v>
      </c>
    </row>
    <row r="119" spans="1:9" x14ac:dyDescent="0.25">
      <c r="A119" s="2">
        <v>114</v>
      </c>
      <c r="B119" s="2"/>
      <c r="C119" s="2"/>
      <c r="D119" s="2">
        <f t="shared" si="2"/>
        <v>0</v>
      </c>
      <c r="F119" s="2">
        <v>114</v>
      </c>
      <c r="G119" s="2"/>
      <c r="H119" s="2"/>
      <c r="I119" s="2">
        <f t="shared" si="3"/>
        <v>0</v>
      </c>
    </row>
    <row r="120" spans="1:9" x14ac:dyDescent="0.25">
      <c r="A120" s="2">
        <v>115</v>
      </c>
      <c r="B120" s="2"/>
      <c r="C120" s="2"/>
      <c r="D120" s="2">
        <f t="shared" si="2"/>
        <v>0</v>
      </c>
      <c r="F120" s="2">
        <v>115</v>
      </c>
      <c r="G120" s="2"/>
      <c r="H120" s="2"/>
      <c r="I120" s="2">
        <f t="shared" si="3"/>
        <v>0</v>
      </c>
    </row>
    <row r="121" spans="1:9" x14ac:dyDescent="0.25">
      <c r="A121" s="2">
        <v>116</v>
      </c>
      <c r="B121" s="2"/>
      <c r="C121" s="2"/>
      <c r="D121" s="2">
        <f t="shared" si="2"/>
        <v>0</v>
      </c>
      <c r="F121" s="2">
        <v>116</v>
      </c>
      <c r="G121" s="2"/>
      <c r="H121" s="2"/>
      <c r="I121" s="2">
        <f t="shared" si="3"/>
        <v>0</v>
      </c>
    </row>
    <row r="122" spans="1:9" x14ac:dyDescent="0.25">
      <c r="A122" s="2">
        <v>117</v>
      </c>
      <c r="B122" s="2"/>
      <c r="C122" s="2"/>
      <c r="D122" s="2">
        <f t="shared" si="2"/>
        <v>0</v>
      </c>
      <c r="F122" s="2">
        <v>117</v>
      </c>
      <c r="G122" s="2"/>
      <c r="H122" s="2"/>
      <c r="I122" s="2">
        <f t="shared" si="3"/>
        <v>0</v>
      </c>
    </row>
    <row r="123" spans="1:9" x14ac:dyDescent="0.25">
      <c r="A123" s="2">
        <v>118</v>
      </c>
      <c r="B123" s="2"/>
      <c r="C123" s="2"/>
      <c r="D123" s="2">
        <f t="shared" si="2"/>
        <v>0</v>
      </c>
      <c r="F123" s="2">
        <v>118</v>
      </c>
      <c r="G123" s="2"/>
      <c r="H123" s="2"/>
      <c r="I123" s="2">
        <f t="shared" si="3"/>
        <v>0</v>
      </c>
    </row>
    <row r="124" spans="1:9" x14ac:dyDescent="0.25">
      <c r="A124" s="2">
        <v>119</v>
      </c>
      <c r="B124" s="2"/>
      <c r="C124" s="2"/>
      <c r="D124" s="2">
        <f t="shared" si="2"/>
        <v>0</v>
      </c>
      <c r="F124" s="2">
        <v>119</v>
      </c>
      <c r="G124" s="2"/>
      <c r="H124" s="2"/>
      <c r="I124" s="2">
        <f t="shared" si="3"/>
        <v>0</v>
      </c>
    </row>
    <row r="125" spans="1:9" x14ac:dyDescent="0.25">
      <c r="A125" s="2">
        <v>120</v>
      </c>
      <c r="B125" s="2"/>
      <c r="C125" s="2"/>
      <c r="D125" s="2">
        <f t="shared" si="2"/>
        <v>0</v>
      </c>
      <c r="F125" s="2">
        <v>120</v>
      </c>
      <c r="G125" s="2"/>
      <c r="H125" s="2"/>
      <c r="I125" s="2">
        <f t="shared" si="3"/>
        <v>0</v>
      </c>
    </row>
    <row r="126" spans="1:9" x14ac:dyDescent="0.25">
      <c r="A126" s="2">
        <v>121</v>
      </c>
      <c r="B126" s="2"/>
      <c r="C126" s="2"/>
      <c r="D126" s="2">
        <f t="shared" si="2"/>
        <v>0</v>
      </c>
      <c r="F126" s="2">
        <v>121</v>
      </c>
      <c r="G126" s="2"/>
      <c r="H126" s="2"/>
      <c r="I126" s="2">
        <f t="shared" si="3"/>
        <v>0</v>
      </c>
    </row>
    <row r="127" spans="1:9" x14ac:dyDescent="0.25">
      <c r="A127" s="2">
        <v>122</v>
      </c>
      <c r="B127" s="2"/>
      <c r="C127" s="2"/>
      <c r="D127" s="2">
        <f t="shared" si="2"/>
        <v>0</v>
      </c>
      <c r="F127" s="2">
        <v>122</v>
      </c>
      <c r="G127" s="2"/>
      <c r="H127" s="2"/>
      <c r="I127" s="2">
        <f t="shared" si="3"/>
        <v>0</v>
      </c>
    </row>
    <row r="128" spans="1:9" x14ac:dyDescent="0.25">
      <c r="A128" s="2">
        <v>123</v>
      </c>
      <c r="B128" s="2"/>
      <c r="C128" s="2"/>
      <c r="D128" s="2">
        <f t="shared" si="2"/>
        <v>0</v>
      </c>
      <c r="F128" s="2">
        <v>123</v>
      </c>
      <c r="G128" s="2"/>
      <c r="H128" s="2"/>
      <c r="I128" s="2">
        <f t="shared" si="3"/>
        <v>0</v>
      </c>
    </row>
    <row r="129" spans="1:9" x14ac:dyDescent="0.25">
      <c r="A129" s="2">
        <v>124</v>
      </c>
      <c r="B129" s="2"/>
      <c r="C129" s="2"/>
      <c r="D129" s="2">
        <f t="shared" si="2"/>
        <v>0</v>
      </c>
      <c r="F129" s="2">
        <v>124</v>
      </c>
      <c r="G129" s="2"/>
      <c r="H129" s="2"/>
      <c r="I129" s="2">
        <f t="shared" si="3"/>
        <v>0</v>
      </c>
    </row>
    <row r="130" spans="1:9" x14ac:dyDescent="0.25">
      <c r="A130" s="2">
        <v>125</v>
      </c>
      <c r="B130" s="2"/>
      <c r="C130" s="2"/>
      <c r="D130" s="2">
        <f t="shared" si="2"/>
        <v>0</v>
      </c>
      <c r="F130" s="2">
        <v>125</v>
      </c>
      <c r="G130" s="2"/>
      <c r="H130" s="2"/>
      <c r="I130" s="2">
        <f t="shared" si="3"/>
        <v>0</v>
      </c>
    </row>
    <row r="131" spans="1:9" x14ac:dyDescent="0.25">
      <c r="A131" s="2">
        <v>126</v>
      </c>
      <c r="B131" s="2"/>
      <c r="C131" s="2"/>
      <c r="D131" s="2">
        <f t="shared" si="2"/>
        <v>0</v>
      </c>
      <c r="F131" s="2">
        <v>126</v>
      </c>
      <c r="G131" s="2"/>
      <c r="H131" s="2"/>
      <c r="I131" s="2">
        <f t="shared" si="3"/>
        <v>0</v>
      </c>
    </row>
    <row r="132" spans="1:9" x14ac:dyDescent="0.25">
      <c r="A132" s="2">
        <v>127</v>
      </c>
      <c r="B132" s="2"/>
      <c r="C132" s="2"/>
      <c r="D132" s="2">
        <f t="shared" si="2"/>
        <v>0</v>
      </c>
      <c r="F132" s="2">
        <v>127</v>
      </c>
      <c r="G132" s="2"/>
      <c r="H132" s="2"/>
      <c r="I132" s="2">
        <f t="shared" si="3"/>
        <v>0</v>
      </c>
    </row>
    <row r="133" spans="1:9" x14ac:dyDescent="0.25">
      <c r="A133" s="2">
        <v>128</v>
      </c>
      <c r="B133" s="2"/>
      <c r="C133" s="2"/>
      <c r="D133" s="2">
        <f t="shared" si="2"/>
        <v>0</v>
      </c>
      <c r="F133" s="2">
        <v>128</v>
      </c>
      <c r="G133" s="2"/>
      <c r="H133" s="2"/>
      <c r="I133" s="2">
        <f t="shared" si="3"/>
        <v>0</v>
      </c>
    </row>
    <row r="134" spans="1:9" x14ac:dyDescent="0.25">
      <c r="A134" s="2">
        <v>129</v>
      </c>
      <c r="B134" s="2"/>
      <c r="C134" s="2"/>
      <c r="D134" s="2">
        <f t="shared" si="2"/>
        <v>0</v>
      </c>
      <c r="F134" s="2">
        <v>129</v>
      </c>
      <c r="G134" s="2"/>
      <c r="H134" s="2"/>
      <c r="I134" s="2">
        <f t="shared" si="3"/>
        <v>0</v>
      </c>
    </row>
    <row r="135" spans="1:9" x14ac:dyDescent="0.25">
      <c r="A135" s="2">
        <v>130</v>
      </c>
      <c r="B135" s="2"/>
      <c r="C135" s="2"/>
      <c r="D135" s="2">
        <f t="shared" ref="D135:D165" si="4">ABS(B135-C135)</f>
        <v>0</v>
      </c>
      <c r="F135" s="2">
        <v>130</v>
      </c>
      <c r="G135" s="2"/>
      <c r="H135" s="2"/>
      <c r="I135" s="2">
        <f t="shared" ref="I135:I165" si="5">ABS(G135-H135)</f>
        <v>0</v>
      </c>
    </row>
    <row r="136" spans="1:9" x14ac:dyDescent="0.25">
      <c r="A136" s="2">
        <v>131</v>
      </c>
      <c r="B136" s="2"/>
      <c r="C136" s="2"/>
      <c r="D136" s="2">
        <f t="shared" si="4"/>
        <v>0</v>
      </c>
      <c r="F136" s="2">
        <v>131</v>
      </c>
      <c r="G136" s="2"/>
      <c r="H136" s="2"/>
      <c r="I136" s="2">
        <f t="shared" si="5"/>
        <v>0</v>
      </c>
    </row>
    <row r="137" spans="1:9" x14ac:dyDescent="0.25">
      <c r="A137" s="2">
        <v>132</v>
      </c>
      <c r="B137" s="2"/>
      <c r="C137" s="2"/>
      <c r="D137" s="2">
        <f t="shared" si="4"/>
        <v>0</v>
      </c>
      <c r="F137" s="2">
        <v>132</v>
      </c>
      <c r="G137" s="2"/>
      <c r="H137" s="2"/>
      <c r="I137" s="2">
        <f t="shared" si="5"/>
        <v>0</v>
      </c>
    </row>
    <row r="138" spans="1:9" x14ac:dyDescent="0.25">
      <c r="A138" s="2">
        <v>133</v>
      </c>
      <c r="B138" s="2"/>
      <c r="C138" s="2"/>
      <c r="D138" s="2">
        <f t="shared" si="4"/>
        <v>0</v>
      </c>
      <c r="F138" s="2">
        <v>133</v>
      </c>
      <c r="G138" s="2"/>
      <c r="H138" s="2"/>
      <c r="I138" s="2">
        <f t="shared" si="5"/>
        <v>0</v>
      </c>
    </row>
    <row r="139" spans="1:9" x14ac:dyDescent="0.25">
      <c r="A139" s="2">
        <v>134</v>
      </c>
      <c r="B139" s="2"/>
      <c r="C139" s="2"/>
      <c r="D139" s="2">
        <f t="shared" si="4"/>
        <v>0</v>
      </c>
      <c r="F139" s="2">
        <v>134</v>
      </c>
      <c r="G139" s="2"/>
      <c r="H139" s="2"/>
      <c r="I139" s="2">
        <f t="shared" si="5"/>
        <v>0</v>
      </c>
    </row>
    <row r="140" spans="1:9" x14ac:dyDescent="0.25">
      <c r="A140" s="2">
        <v>135</v>
      </c>
      <c r="B140" s="2"/>
      <c r="C140" s="2"/>
      <c r="D140" s="2">
        <f t="shared" si="4"/>
        <v>0</v>
      </c>
      <c r="F140" s="2">
        <v>135</v>
      </c>
      <c r="G140" s="2"/>
      <c r="H140" s="2"/>
      <c r="I140" s="2">
        <f t="shared" si="5"/>
        <v>0</v>
      </c>
    </row>
    <row r="141" spans="1:9" x14ac:dyDescent="0.25">
      <c r="A141" s="2">
        <v>136</v>
      </c>
      <c r="B141" s="2"/>
      <c r="C141" s="2"/>
      <c r="D141" s="2">
        <f t="shared" si="4"/>
        <v>0</v>
      </c>
      <c r="F141" s="2">
        <v>136</v>
      </c>
      <c r="G141" s="2"/>
      <c r="H141" s="2"/>
      <c r="I141" s="2">
        <f t="shared" si="5"/>
        <v>0</v>
      </c>
    </row>
    <row r="142" spans="1:9" x14ac:dyDescent="0.25">
      <c r="A142" s="2">
        <v>137</v>
      </c>
      <c r="B142" s="2"/>
      <c r="C142" s="2"/>
      <c r="D142" s="2">
        <f t="shared" si="4"/>
        <v>0</v>
      </c>
      <c r="F142" s="2">
        <v>137</v>
      </c>
      <c r="G142" s="2"/>
      <c r="H142" s="2"/>
      <c r="I142" s="2">
        <f t="shared" si="5"/>
        <v>0</v>
      </c>
    </row>
    <row r="143" spans="1:9" x14ac:dyDescent="0.25">
      <c r="A143" s="2">
        <v>138</v>
      </c>
      <c r="B143" s="2"/>
      <c r="C143" s="2"/>
      <c r="D143" s="2">
        <f t="shared" si="4"/>
        <v>0</v>
      </c>
      <c r="F143" s="2">
        <v>138</v>
      </c>
      <c r="G143" s="2"/>
      <c r="H143" s="2"/>
      <c r="I143" s="2">
        <f t="shared" si="5"/>
        <v>0</v>
      </c>
    </row>
    <row r="144" spans="1:9" x14ac:dyDescent="0.25">
      <c r="A144" s="2">
        <v>139</v>
      </c>
      <c r="B144" s="2"/>
      <c r="C144" s="2"/>
      <c r="D144" s="2">
        <f t="shared" si="4"/>
        <v>0</v>
      </c>
      <c r="F144" s="2">
        <v>139</v>
      </c>
      <c r="G144" s="2"/>
      <c r="H144" s="2"/>
      <c r="I144" s="2">
        <f t="shared" si="5"/>
        <v>0</v>
      </c>
    </row>
    <row r="145" spans="1:9" x14ac:dyDescent="0.25">
      <c r="A145" s="2">
        <v>140</v>
      </c>
      <c r="B145" s="2"/>
      <c r="C145" s="2"/>
      <c r="D145" s="2">
        <f t="shared" si="4"/>
        <v>0</v>
      </c>
      <c r="F145" s="2">
        <v>140</v>
      </c>
      <c r="G145" s="2"/>
      <c r="H145" s="2"/>
      <c r="I145" s="2">
        <f t="shared" si="5"/>
        <v>0</v>
      </c>
    </row>
    <row r="146" spans="1:9" x14ac:dyDescent="0.25">
      <c r="A146" s="2">
        <v>141</v>
      </c>
      <c r="B146" s="2"/>
      <c r="C146" s="2"/>
      <c r="D146" s="2">
        <f t="shared" si="4"/>
        <v>0</v>
      </c>
      <c r="F146" s="2">
        <v>141</v>
      </c>
      <c r="G146" s="2"/>
      <c r="H146" s="2"/>
      <c r="I146" s="2">
        <f t="shared" si="5"/>
        <v>0</v>
      </c>
    </row>
    <row r="147" spans="1:9" x14ac:dyDescent="0.25">
      <c r="A147" s="2">
        <v>142</v>
      </c>
      <c r="B147" s="2"/>
      <c r="C147" s="2"/>
      <c r="D147" s="2">
        <f t="shared" si="4"/>
        <v>0</v>
      </c>
      <c r="F147" s="2">
        <v>142</v>
      </c>
      <c r="G147" s="2"/>
      <c r="H147" s="2"/>
      <c r="I147" s="2">
        <f t="shared" si="5"/>
        <v>0</v>
      </c>
    </row>
    <row r="148" spans="1:9" x14ac:dyDescent="0.25">
      <c r="A148" s="2">
        <v>143</v>
      </c>
      <c r="B148" s="2"/>
      <c r="C148" s="2"/>
      <c r="D148" s="2">
        <f t="shared" si="4"/>
        <v>0</v>
      </c>
      <c r="F148" s="2">
        <v>143</v>
      </c>
      <c r="G148" s="2"/>
      <c r="H148" s="2"/>
      <c r="I148" s="2">
        <f t="shared" si="5"/>
        <v>0</v>
      </c>
    </row>
    <row r="149" spans="1:9" x14ac:dyDescent="0.25">
      <c r="A149" s="2">
        <v>144</v>
      </c>
      <c r="B149" s="2"/>
      <c r="C149" s="2"/>
      <c r="D149" s="2">
        <f t="shared" si="4"/>
        <v>0</v>
      </c>
      <c r="F149" s="2">
        <v>144</v>
      </c>
      <c r="G149" s="2"/>
      <c r="H149" s="2"/>
      <c r="I149" s="2">
        <f t="shared" si="5"/>
        <v>0</v>
      </c>
    </row>
    <row r="150" spans="1:9" x14ac:dyDescent="0.25">
      <c r="A150" s="2">
        <v>145</v>
      </c>
      <c r="B150" s="2"/>
      <c r="C150" s="2"/>
      <c r="D150" s="2">
        <f t="shared" si="4"/>
        <v>0</v>
      </c>
      <c r="F150" s="2">
        <v>145</v>
      </c>
      <c r="G150" s="2"/>
      <c r="H150" s="2"/>
      <c r="I150" s="2">
        <f t="shared" si="5"/>
        <v>0</v>
      </c>
    </row>
    <row r="151" spans="1:9" x14ac:dyDescent="0.25">
      <c r="A151" s="2">
        <v>146</v>
      </c>
      <c r="B151" s="2"/>
      <c r="C151" s="2"/>
      <c r="D151" s="2">
        <f t="shared" si="4"/>
        <v>0</v>
      </c>
      <c r="F151" s="2">
        <v>146</v>
      </c>
      <c r="G151" s="2"/>
      <c r="H151" s="2"/>
      <c r="I151" s="2">
        <f t="shared" si="5"/>
        <v>0</v>
      </c>
    </row>
    <row r="152" spans="1:9" x14ac:dyDescent="0.25">
      <c r="A152" s="2">
        <v>147</v>
      </c>
      <c r="B152" s="2"/>
      <c r="C152" s="2"/>
      <c r="D152" s="2">
        <f t="shared" si="4"/>
        <v>0</v>
      </c>
      <c r="F152" s="2">
        <v>147</v>
      </c>
      <c r="G152" s="2"/>
      <c r="H152" s="2"/>
      <c r="I152" s="2">
        <f t="shared" si="5"/>
        <v>0</v>
      </c>
    </row>
    <row r="153" spans="1:9" x14ac:dyDescent="0.25">
      <c r="A153" s="2">
        <v>148</v>
      </c>
      <c r="B153" s="2"/>
      <c r="C153" s="2"/>
      <c r="D153" s="2">
        <f t="shared" si="4"/>
        <v>0</v>
      </c>
      <c r="F153" s="2">
        <v>148</v>
      </c>
      <c r="G153" s="2"/>
      <c r="H153" s="2"/>
      <c r="I153" s="2">
        <f t="shared" si="5"/>
        <v>0</v>
      </c>
    </row>
    <row r="154" spans="1:9" x14ac:dyDescent="0.25">
      <c r="A154" s="2">
        <v>149</v>
      </c>
      <c r="B154" s="2"/>
      <c r="C154" s="2"/>
      <c r="D154" s="2">
        <f t="shared" si="4"/>
        <v>0</v>
      </c>
      <c r="F154" s="2">
        <v>149</v>
      </c>
      <c r="G154" s="2"/>
      <c r="H154" s="2"/>
      <c r="I154" s="2">
        <f t="shared" si="5"/>
        <v>0</v>
      </c>
    </row>
    <row r="155" spans="1:9" x14ac:dyDescent="0.25">
      <c r="A155" s="2">
        <v>150</v>
      </c>
      <c r="B155" s="2"/>
      <c r="C155" s="2"/>
      <c r="D155" s="2">
        <f t="shared" si="4"/>
        <v>0</v>
      </c>
      <c r="F155" s="2">
        <v>150</v>
      </c>
      <c r="G155" s="2"/>
      <c r="H155" s="2"/>
      <c r="I155" s="2">
        <f t="shared" si="5"/>
        <v>0</v>
      </c>
    </row>
    <row r="156" spans="1:9" x14ac:dyDescent="0.25">
      <c r="A156" s="2">
        <v>151</v>
      </c>
      <c r="B156" s="2"/>
      <c r="C156" s="2"/>
      <c r="D156" s="2">
        <f t="shared" si="4"/>
        <v>0</v>
      </c>
      <c r="F156" s="2">
        <v>151</v>
      </c>
      <c r="G156" s="2"/>
      <c r="H156" s="2"/>
      <c r="I156" s="2">
        <f t="shared" si="5"/>
        <v>0</v>
      </c>
    </row>
    <row r="157" spans="1:9" x14ac:dyDescent="0.25">
      <c r="A157" s="2">
        <v>152</v>
      </c>
      <c r="B157" s="2"/>
      <c r="C157" s="2"/>
      <c r="D157" s="2">
        <f t="shared" si="4"/>
        <v>0</v>
      </c>
      <c r="F157" s="2">
        <v>152</v>
      </c>
      <c r="G157" s="2"/>
      <c r="H157" s="2"/>
      <c r="I157" s="2">
        <f t="shared" si="5"/>
        <v>0</v>
      </c>
    </row>
    <row r="158" spans="1:9" x14ac:dyDescent="0.25">
      <c r="A158" s="2">
        <v>153</v>
      </c>
      <c r="B158" s="2"/>
      <c r="C158" s="2"/>
      <c r="D158" s="2">
        <f t="shared" si="4"/>
        <v>0</v>
      </c>
      <c r="F158" s="2">
        <v>153</v>
      </c>
      <c r="G158" s="2"/>
      <c r="H158" s="2"/>
      <c r="I158" s="2">
        <f t="shared" si="5"/>
        <v>0</v>
      </c>
    </row>
    <row r="159" spans="1:9" x14ac:dyDescent="0.25">
      <c r="A159" s="2">
        <v>154</v>
      </c>
      <c r="B159" s="2"/>
      <c r="C159" s="2"/>
      <c r="D159" s="2">
        <f t="shared" si="4"/>
        <v>0</v>
      </c>
      <c r="F159" s="2">
        <v>154</v>
      </c>
      <c r="G159" s="2"/>
      <c r="H159" s="2"/>
      <c r="I159" s="2">
        <f t="shared" si="5"/>
        <v>0</v>
      </c>
    </row>
    <row r="160" spans="1:9" x14ac:dyDescent="0.25">
      <c r="A160" s="2">
        <v>155</v>
      </c>
      <c r="B160" s="2"/>
      <c r="C160" s="2"/>
      <c r="D160" s="2">
        <f t="shared" si="4"/>
        <v>0</v>
      </c>
      <c r="F160" s="2">
        <v>155</v>
      </c>
      <c r="G160" s="2"/>
      <c r="H160" s="2"/>
      <c r="I160" s="2">
        <f t="shared" si="5"/>
        <v>0</v>
      </c>
    </row>
    <row r="161" spans="1:9" x14ac:dyDescent="0.25">
      <c r="A161" s="2">
        <v>156</v>
      </c>
      <c r="B161" s="2"/>
      <c r="C161" s="2"/>
      <c r="D161" s="2">
        <f t="shared" si="4"/>
        <v>0</v>
      </c>
      <c r="F161" s="2">
        <v>156</v>
      </c>
      <c r="G161" s="2"/>
      <c r="H161" s="2"/>
      <c r="I161" s="2">
        <f t="shared" si="5"/>
        <v>0</v>
      </c>
    </row>
    <row r="162" spans="1:9" x14ac:dyDescent="0.25">
      <c r="A162" s="2">
        <v>157</v>
      </c>
      <c r="B162" s="2"/>
      <c r="C162" s="2"/>
      <c r="D162" s="2">
        <f t="shared" si="4"/>
        <v>0</v>
      </c>
      <c r="F162" s="2">
        <v>157</v>
      </c>
      <c r="G162" s="2"/>
      <c r="H162" s="2"/>
      <c r="I162" s="2">
        <f t="shared" si="5"/>
        <v>0</v>
      </c>
    </row>
    <row r="163" spans="1:9" x14ac:dyDescent="0.25">
      <c r="A163" s="2">
        <v>158</v>
      </c>
      <c r="B163" s="2"/>
      <c r="C163" s="2"/>
      <c r="D163" s="2">
        <f t="shared" si="4"/>
        <v>0</v>
      </c>
      <c r="F163" s="2">
        <v>158</v>
      </c>
      <c r="G163" s="2"/>
      <c r="H163" s="2"/>
      <c r="I163" s="2">
        <f t="shared" si="5"/>
        <v>0</v>
      </c>
    </row>
    <row r="164" spans="1:9" x14ac:dyDescent="0.25">
      <c r="A164" s="2">
        <v>159</v>
      </c>
      <c r="B164" s="2"/>
      <c r="C164" s="2"/>
      <c r="D164" s="2">
        <f t="shared" si="4"/>
        <v>0</v>
      </c>
      <c r="F164" s="2">
        <v>159</v>
      </c>
      <c r="G164" s="2"/>
      <c r="H164" s="2"/>
      <c r="I164" s="2">
        <f t="shared" si="5"/>
        <v>0</v>
      </c>
    </row>
    <row r="165" spans="1:9" x14ac:dyDescent="0.25">
      <c r="A165" s="2">
        <v>160</v>
      </c>
      <c r="B165" s="2"/>
      <c r="C165" s="2"/>
      <c r="D165" s="2">
        <f t="shared" si="4"/>
        <v>0</v>
      </c>
      <c r="F165" s="2">
        <v>160</v>
      </c>
      <c r="G165" s="2"/>
      <c r="H165" s="2"/>
      <c r="I165" s="2">
        <f t="shared" si="5"/>
        <v>0</v>
      </c>
    </row>
  </sheetData>
  <mergeCells count="2">
    <mergeCell ref="A4:D4"/>
    <mergeCell ref="F4:I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045C-F6F7-4DDD-8CFA-492922FCF77D}">
  <dimension ref="A1:K37"/>
  <sheetViews>
    <sheetView workbookViewId="0">
      <selection activeCell="L27" sqref="L27"/>
    </sheetView>
  </sheetViews>
  <sheetFormatPr defaultColWidth="8.85546875" defaultRowHeight="15" x14ac:dyDescent="0.25"/>
  <cols>
    <col min="1" max="1" width="26.7109375" bestFit="1" customWidth="1"/>
    <col min="2" max="2" width="23.42578125" bestFit="1" customWidth="1"/>
    <col min="3" max="3" width="14.85546875" bestFit="1" customWidth="1"/>
    <col min="4" max="4" width="10.7109375" bestFit="1" customWidth="1"/>
    <col min="5" max="5" width="13.42578125" bestFit="1" customWidth="1"/>
    <col min="6" max="6" width="24" bestFit="1" customWidth="1"/>
    <col min="7" max="7" width="10.7109375" bestFit="1" customWidth="1"/>
    <col min="9" max="9" width="13.42578125" bestFit="1" customWidth="1"/>
    <col min="10" max="10" width="24" bestFit="1" customWidth="1"/>
    <col min="11" max="11" width="10.7109375" bestFit="1" customWidth="1"/>
  </cols>
  <sheetData>
    <row r="1" spans="1:11" ht="26.25" x14ac:dyDescent="0.4">
      <c r="A1" s="52" t="s">
        <v>66</v>
      </c>
      <c r="B1" s="52"/>
      <c r="C1" s="52"/>
      <c r="D1" s="52"/>
      <c r="E1" s="52"/>
      <c r="F1" s="52"/>
      <c r="G1" s="19"/>
    </row>
    <row r="2" spans="1:11" ht="15" customHeight="1" x14ac:dyDescent="0.4">
      <c r="A2" s="11"/>
      <c r="B2" s="11"/>
      <c r="C2" s="11"/>
      <c r="D2" s="11"/>
      <c r="E2" s="11"/>
      <c r="F2" s="11"/>
      <c r="G2" s="19"/>
    </row>
    <row r="3" spans="1:11" x14ac:dyDescent="0.25">
      <c r="A3" s="53" t="s">
        <v>67</v>
      </c>
      <c r="B3" s="53"/>
      <c r="C3" s="53"/>
      <c r="D3" s="53"/>
      <c r="E3" s="53"/>
      <c r="F3" s="53"/>
    </row>
    <row r="4" spans="1:11" x14ac:dyDescent="0.25">
      <c r="A4" s="2"/>
      <c r="B4" s="1" t="s">
        <v>23</v>
      </c>
      <c r="C4" s="1" t="s">
        <v>24</v>
      </c>
      <c r="D4" s="1" t="s">
        <v>25</v>
      </c>
      <c r="E4" s="1" t="s">
        <v>26</v>
      </c>
      <c r="F4" s="1" t="s">
        <v>58</v>
      </c>
    </row>
    <row r="5" spans="1:11" x14ac:dyDescent="0.25">
      <c r="A5" s="2" t="s">
        <v>78</v>
      </c>
      <c r="B5" s="22" t="e">
        <f>AVERAGE(B17:B22)</f>
        <v>#DIV/0!</v>
      </c>
      <c r="C5" s="22" t="e">
        <f>AVERAGE(F17:F22)</f>
        <v>#DIV/0!</v>
      </c>
      <c r="D5" s="22" t="e">
        <f>AVERAGE(J17:J22)</f>
        <v>#DIV/0!</v>
      </c>
      <c r="E5" s="22" t="e">
        <f>AVERAGE(B5:D5)</f>
        <v>#DIV/0!</v>
      </c>
      <c r="F5" s="3" t="e">
        <f>STDEV(B17:B22,F17:F22,J18:J22)</f>
        <v>#DIV/0!</v>
      </c>
    </row>
    <row r="6" spans="1:11" x14ac:dyDescent="0.25">
      <c r="A6" s="2" t="s">
        <v>152</v>
      </c>
      <c r="B6" s="22" t="e">
        <f>100*STDEV(B17:B22)/B5</f>
        <v>#DIV/0!</v>
      </c>
      <c r="C6" s="22" t="e">
        <f>100*STDEV(F17:F22)/C5</f>
        <v>#DIV/0!</v>
      </c>
      <c r="D6" s="22" t="e">
        <f>100*STDEV(J17:J22)/D5</f>
        <v>#DIV/0!</v>
      </c>
      <c r="E6" s="22" t="e">
        <f>AVERAGE(B6:D6)</f>
        <v>#DIV/0!</v>
      </c>
      <c r="F6" s="3"/>
    </row>
    <row r="8" spans="1:11" x14ac:dyDescent="0.25">
      <c r="A8" s="55" t="s">
        <v>68</v>
      </c>
      <c r="B8" s="56"/>
      <c r="C8" s="56"/>
      <c r="D8" s="56"/>
      <c r="E8" s="56"/>
      <c r="F8" s="57"/>
    </row>
    <row r="9" spans="1:11" x14ac:dyDescent="0.25">
      <c r="A9" s="2"/>
      <c r="B9" s="1" t="s">
        <v>55</v>
      </c>
      <c r="C9" s="1" t="s">
        <v>56</v>
      </c>
      <c r="D9" s="1" t="s">
        <v>57</v>
      </c>
      <c r="E9" s="1" t="s">
        <v>26</v>
      </c>
      <c r="F9" s="1" t="s">
        <v>58</v>
      </c>
    </row>
    <row r="10" spans="1:11" x14ac:dyDescent="0.25">
      <c r="A10" s="2" t="s">
        <v>78</v>
      </c>
      <c r="B10" s="22" t="e">
        <f>AVERAGE(B17:B19,J17:J19)</f>
        <v>#DIV/0!</v>
      </c>
      <c r="C10" s="22" t="e">
        <f>AVERAGE(B20:B22,F17:F19)</f>
        <v>#DIV/0!</v>
      </c>
      <c r="D10" s="22" t="e">
        <f>AVERAGE(F20:F22,J20:J22)</f>
        <v>#DIV/0!</v>
      </c>
      <c r="E10" s="22" t="e">
        <f>AVERAGE(B10:D10)</f>
        <v>#DIV/0!</v>
      </c>
      <c r="F10" s="3" t="e">
        <f>F5</f>
        <v>#DIV/0!</v>
      </c>
    </row>
    <row r="11" spans="1:11" x14ac:dyDescent="0.25">
      <c r="A11" s="2" t="s">
        <v>152</v>
      </c>
      <c r="B11" s="22" t="e">
        <f>100*STDEV(B17:B19,J17:J19)/B10</f>
        <v>#DIV/0!</v>
      </c>
      <c r="C11" s="22" t="e">
        <f>100*STDEV(B20:B22,F17:F19)/C10</f>
        <v>#DIV/0!</v>
      </c>
      <c r="D11" s="22" t="e">
        <f>100*STDEV(F20:F22,J20:J22)/E10</f>
        <v>#DIV/0!</v>
      </c>
      <c r="E11" s="22" t="e">
        <f>AVERAGE(B11:D11)</f>
        <v>#DIV/0!</v>
      </c>
      <c r="F11" s="3"/>
    </row>
    <row r="13" spans="1:11" x14ac:dyDescent="0.25">
      <c r="A13" s="2" t="s">
        <v>77</v>
      </c>
      <c r="B13" s="2">
        <v>120</v>
      </c>
    </row>
    <row r="15" spans="1:11" x14ac:dyDescent="0.25">
      <c r="A15" s="54" t="s">
        <v>16</v>
      </c>
      <c r="B15" s="54"/>
      <c r="C15" s="54"/>
      <c r="E15" s="54" t="s">
        <v>17</v>
      </c>
      <c r="F15" s="54"/>
      <c r="G15" s="54"/>
      <c r="I15" s="54" t="s">
        <v>18</v>
      </c>
      <c r="J15" s="54"/>
      <c r="K15" s="54"/>
    </row>
    <row r="16" spans="1:11" x14ac:dyDescent="0.25">
      <c r="A16" s="2"/>
      <c r="B16" s="1" t="s">
        <v>76</v>
      </c>
      <c r="C16" s="1" t="s">
        <v>75</v>
      </c>
      <c r="E16" s="2"/>
      <c r="F16" s="1" t="s">
        <v>76</v>
      </c>
      <c r="G16" s="1" t="s">
        <v>75</v>
      </c>
      <c r="I16" s="2"/>
      <c r="J16" s="1" t="s">
        <v>76</v>
      </c>
      <c r="K16" s="1" t="s">
        <v>75</v>
      </c>
    </row>
    <row r="17" spans="1:11" x14ac:dyDescent="0.25">
      <c r="A17" s="2" t="s">
        <v>69</v>
      </c>
      <c r="B17" s="2"/>
      <c r="C17" s="2">
        <f t="shared" ref="C17:C22" si="0">B17-rod_dist_</f>
        <v>-120</v>
      </c>
      <c r="E17" s="2" t="s">
        <v>69</v>
      </c>
      <c r="F17" s="2"/>
      <c r="G17" s="2">
        <f t="shared" ref="G17:G22" si="1">F17-rod_dist_</f>
        <v>-120</v>
      </c>
      <c r="I17" s="2" t="s">
        <v>69</v>
      </c>
      <c r="J17" s="2"/>
      <c r="K17" s="2">
        <f t="shared" ref="K17:K22" si="2">J17-rod_dist_</f>
        <v>-120</v>
      </c>
    </row>
    <row r="18" spans="1:11" x14ac:dyDescent="0.25">
      <c r="A18" s="2" t="s">
        <v>70</v>
      </c>
      <c r="B18" s="2"/>
      <c r="C18" s="2">
        <f t="shared" si="0"/>
        <v>-120</v>
      </c>
      <c r="E18" s="2" t="s">
        <v>70</v>
      </c>
      <c r="F18" s="2"/>
      <c r="G18" s="2">
        <f t="shared" si="1"/>
        <v>-120</v>
      </c>
      <c r="I18" s="2" t="s">
        <v>70</v>
      </c>
      <c r="J18" s="2"/>
      <c r="K18" s="2">
        <f t="shared" si="2"/>
        <v>-120</v>
      </c>
    </row>
    <row r="19" spans="1:11" x14ac:dyDescent="0.25">
      <c r="A19" s="2" t="s">
        <v>71</v>
      </c>
      <c r="B19" s="2"/>
      <c r="C19" s="2">
        <f t="shared" si="0"/>
        <v>-120</v>
      </c>
      <c r="E19" s="2" t="s">
        <v>71</v>
      </c>
      <c r="F19" s="2"/>
      <c r="G19" s="2">
        <f t="shared" si="1"/>
        <v>-120</v>
      </c>
      <c r="I19" s="2" t="s">
        <v>71</v>
      </c>
      <c r="J19" s="2"/>
      <c r="K19" s="2">
        <f t="shared" si="2"/>
        <v>-120</v>
      </c>
    </row>
    <row r="20" spans="1:11" x14ac:dyDescent="0.25">
      <c r="A20" s="2" t="s">
        <v>72</v>
      </c>
      <c r="B20" s="2"/>
      <c r="C20" s="2">
        <f t="shared" si="0"/>
        <v>-120</v>
      </c>
      <c r="E20" s="2" t="s">
        <v>72</v>
      </c>
      <c r="F20" s="2"/>
      <c r="G20" s="2">
        <f t="shared" si="1"/>
        <v>-120</v>
      </c>
      <c r="I20" s="2" t="s">
        <v>72</v>
      </c>
      <c r="J20" s="2"/>
      <c r="K20" s="2">
        <f t="shared" si="2"/>
        <v>-120</v>
      </c>
    </row>
    <row r="21" spans="1:11" x14ac:dyDescent="0.25">
      <c r="A21" s="2" t="s">
        <v>73</v>
      </c>
      <c r="B21" s="2"/>
      <c r="C21" s="2">
        <f t="shared" si="0"/>
        <v>-120</v>
      </c>
      <c r="E21" s="2" t="s">
        <v>73</v>
      </c>
      <c r="F21" s="2"/>
      <c r="G21" s="2">
        <f t="shared" si="1"/>
        <v>-120</v>
      </c>
      <c r="I21" s="2" t="s">
        <v>73</v>
      </c>
      <c r="J21" s="2"/>
      <c r="K21" s="2">
        <f t="shared" si="2"/>
        <v>-120</v>
      </c>
    </row>
    <row r="22" spans="1:11" x14ac:dyDescent="0.25">
      <c r="A22" s="2" t="s">
        <v>74</v>
      </c>
      <c r="B22" s="2"/>
      <c r="C22" s="2">
        <f t="shared" si="0"/>
        <v>-120</v>
      </c>
      <c r="E22" s="2" t="s">
        <v>74</v>
      </c>
      <c r="F22" s="2"/>
      <c r="G22" s="2">
        <f t="shared" si="1"/>
        <v>-120</v>
      </c>
      <c r="I22" s="2" t="s">
        <v>74</v>
      </c>
      <c r="J22" s="2"/>
      <c r="K22" s="2">
        <f t="shared" si="2"/>
        <v>-120</v>
      </c>
    </row>
    <row r="37" spans="1:8" x14ac:dyDescent="0.25">
      <c r="A37" t="s">
        <v>155</v>
      </c>
      <c r="D37" t="s">
        <v>156</v>
      </c>
      <c r="H37" t="s">
        <v>157</v>
      </c>
    </row>
  </sheetData>
  <mergeCells count="6">
    <mergeCell ref="I15:K15"/>
    <mergeCell ref="A1:F1"/>
    <mergeCell ref="A3:F3"/>
    <mergeCell ref="A8:F8"/>
    <mergeCell ref="A15:C15"/>
    <mergeCell ref="E15:G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D5D8-7EAF-437D-B207-44277F3F7895}">
  <dimension ref="A1:F22"/>
  <sheetViews>
    <sheetView workbookViewId="0">
      <selection activeCell="B9" sqref="B9"/>
    </sheetView>
  </sheetViews>
  <sheetFormatPr defaultColWidth="8.85546875" defaultRowHeight="15" x14ac:dyDescent="0.25"/>
  <cols>
    <col min="1" max="1" width="45.42578125" bestFit="1" customWidth="1"/>
    <col min="2" max="3" width="18.42578125" bestFit="1" customWidth="1"/>
    <col min="4" max="5" width="15.28515625" bestFit="1" customWidth="1"/>
    <col min="6" max="6" width="18.85546875" bestFit="1" customWidth="1"/>
    <col min="7" max="7" width="15.7109375" bestFit="1" customWidth="1"/>
  </cols>
  <sheetData>
    <row r="1" spans="1:6" ht="26.25" x14ac:dyDescent="0.4">
      <c r="A1" s="52" t="s">
        <v>31</v>
      </c>
      <c r="B1" s="52"/>
      <c r="C1" s="52"/>
    </row>
    <row r="2" spans="1:6" ht="15" customHeight="1" x14ac:dyDescent="0.4">
      <c r="A2" s="11"/>
      <c r="B2" s="11"/>
      <c r="C2" s="11"/>
    </row>
    <row r="3" spans="1:6" x14ac:dyDescent="0.25">
      <c r="A3" s="58" t="s">
        <v>15</v>
      </c>
      <c r="B3" s="59"/>
      <c r="C3" s="59"/>
      <c r="D3" s="59"/>
      <c r="E3" s="59"/>
      <c r="F3" s="59"/>
    </row>
    <row r="4" spans="1:6" x14ac:dyDescent="0.25">
      <c r="A4" s="1" t="s">
        <v>32</v>
      </c>
      <c r="B4" s="5" t="s">
        <v>23</v>
      </c>
      <c r="C4" s="5" t="s">
        <v>24</v>
      </c>
      <c r="D4" s="5" t="s">
        <v>25</v>
      </c>
      <c r="E4" s="5" t="s">
        <v>26</v>
      </c>
      <c r="F4" s="39" t="s">
        <v>153</v>
      </c>
    </row>
    <row r="5" spans="1:6" x14ac:dyDescent="0.25">
      <c r="A5" s="3">
        <v>5</v>
      </c>
      <c r="B5" s="3">
        <f>AVERAGE(FWHM_tra_1_,FWHM_tra_2_)*Dx_/SF_</f>
        <v>0</v>
      </c>
      <c r="C5" s="3">
        <f>AVERAGE(FWHM_sag_1_,FWHM_sag_2_)*Dx_/SF_</f>
        <v>0</v>
      </c>
      <c r="D5" s="3">
        <f>AVERAGE(FWHM_cor_1_,FWHM_cor_2_)*Dx_/SF_</f>
        <v>0</v>
      </c>
      <c r="E5" s="3">
        <f>AVERAGE(B5:D5)</f>
        <v>0</v>
      </c>
      <c r="F5" s="3">
        <f>STDEV(B5:D5)</f>
        <v>0</v>
      </c>
    </row>
    <row r="7" spans="1:6" x14ac:dyDescent="0.25">
      <c r="A7" s="5" t="s">
        <v>10</v>
      </c>
      <c r="B7" s="5" t="s">
        <v>4</v>
      </c>
    </row>
    <row r="8" spans="1:6" x14ac:dyDescent="0.25">
      <c r="A8" s="6" t="s">
        <v>6</v>
      </c>
      <c r="B8" s="2">
        <v>256</v>
      </c>
    </row>
    <row r="9" spans="1:6" x14ac:dyDescent="0.25">
      <c r="A9" s="6" t="s">
        <v>9</v>
      </c>
      <c r="B9" s="2">
        <v>256</v>
      </c>
    </row>
    <row r="11" spans="1:6" x14ac:dyDescent="0.25">
      <c r="A11" s="5" t="s">
        <v>11</v>
      </c>
      <c r="B11" s="5" t="s">
        <v>4</v>
      </c>
    </row>
    <row r="12" spans="1:6" x14ac:dyDescent="0.25">
      <c r="A12" s="2" t="s">
        <v>121</v>
      </c>
      <c r="B12" s="2">
        <v>11.3</v>
      </c>
    </row>
    <row r="14" spans="1:6" x14ac:dyDescent="0.25">
      <c r="A14" s="5" t="s">
        <v>12</v>
      </c>
      <c r="B14" s="5" t="s">
        <v>4</v>
      </c>
    </row>
    <row r="15" spans="1:6" x14ac:dyDescent="0.25">
      <c r="A15" s="2" t="s">
        <v>120</v>
      </c>
      <c r="B15" s="3">
        <f>1/TAN(PI()*theta_/180)</f>
        <v>5.0045111238980571</v>
      </c>
    </row>
    <row r="16" spans="1:6" x14ac:dyDescent="0.25">
      <c r="A16" s="6" t="s">
        <v>13</v>
      </c>
      <c r="B16" s="2">
        <f>N_fe_/FOV_</f>
        <v>1</v>
      </c>
    </row>
    <row r="17" spans="1:2" x14ac:dyDescent="0.25">
      <c r="A17" s="2" t="s">
        <v>128</v>
      </c>
      <c r="B17" s="2">
        <f>'Tra Slice Width'!B8</f>
        <v>0</v>
      </c>
    </row>
    <row r="18" spans="1:2" x14ac:dyDescent="0.25">
      <c r="A18" s="2" t="s">
        <v>129</v>
      </c>
      <c r="B18" s="2">
        <f>'Tra Slice Width'!B9</f>
        <v>0</v>
      </c>
    </row>
    <row r="19" spans="1:2" x14ac:dyDescent="0.25">
      <c r="A19" s="2" t="s">
        <v>130</v>
      </c>
      <c r="B19" s="2">
        <f>'Sag Slice Width'!B8</f>
        <v>0</v>
      </c>
    </row>
    <row r="20" spans="1:2" x14ac:dyDescent="0.25">
      <c r="A20" s="2" t="s">
        <v>131</v>
      </c>
      <c r="B20" s="2">
        <f>'Sag Slice Width'!B9</f>
        <v>0</v>
      </c>
    </row>
    <row r="21" spans="1:2" x14ac:dyDescent="0.25">
      <c r="A21" s="2" t="s">
        <v>132</v>
      </c>
      <c r="B21" s="2">
        <f>'Cor Slice Width'!B8</f>
        <v>0</v>
      </c>
    </row>
    <row r="22" spans="1:2" x14ac:dyDescent="0.25">
      <c r="A22" s="2" t="s">
        <v>133</v>
      </c>
      <c r="B22" s="2">
        <f>'Cor Slice Width'!B9</f>
        <v>0</v>
      </c>
    </row>
  </sheetData>
  <mergeCells count="2">
    <mergeCell ref="A1:C1"/>
    <mergeCell ref="A3:F3"/>
  </mergeCells>
  <phoneticPr fontId="8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B6F2-4111-4D3E-9AA6-8F8E591A461E}">
  <dimension ref="A1:N135"/>
  <sheetViews>
    <sheetView workbookViewId="0">
      <selection activeCell="B12" sqref="B12:C131"/>
    </sheetView>
  </sheetViews>
  <sheetFormatPr defaultColWidth="8.85546875" defaultRowHeight="15" x14ac:dyDescent="0.25"/>
  <cols>
    <col min="1" max="1" width="35.42578125" bestFit="1" customWidth="1"/>
    <col min="2" max="3" width="18.42578125" bestFit="1" customWidth="1"/>
    <col min="4" max="5" width="15.28515625" bestFit="1" customWidth="1"/>
    <col min="6" max="7" width="15.7109375" bestFit="1" customWidth="1"/>
  </cols>
  <sheetData>
    <row r="1" spans="1:14" x14ac:dyDescent="0.25">
      <c r="A1" s="5" t="s">
        <v>37</v>
      </c>
      <c r="B1" s="5" t="s">
        <v>4</v>
      </c>
    </row>
    <row r="2" spans="1:14" x14ac:dyDescent="0.25">
      <c r="A2" s="6" t="s">
        <v>123</v>
      </c>
      <c r="B2" s="2">
        <v>0</v>
      </c>
    </row>
    <row r="3" spans="1:14" x14ac:dyDescent="0.25">
      <c r="A3" s="6" t="s">
        <v>122</v>
      </c>
      <c r="B3" s="2">
        <v>25</v>
      </c>
    </row>
    <row r="4" spans="1:14" x14ac:dyDescent="0.25">
      <c r="A4" s="6" t="s">
        <v>124</v>
      </c>
      <c r="B4" s="2">
        <v>0</v>
      </c>
    </row>
    <row r="5" spans="1:14" x14ac:dyDescent="0.25">
      <c r="A5" s="6" t="s">
        <v>125</v>
      </c>
      <c r="B5" s="2">
        <v>25</v>
      </c>
    </row>
    <row r="7" spans="1:14" x14ac:dyDescent="0.25">
      <c r="A7" s="5" t="s">
        <v>12</v>
      </c>
      <c r="B7" s="5" t="s">
        <v>4</v>
      </c>
    </row>
    <row r="8" spans="1:14" x14ac:dyDescent="0.25">
      <c r="A8" s="2" t="s">
        <v>126</v>
      </c>
      <c r="B8" s="2">
        <f>COUNTIF(B12:B131, "&lt;"&amp;B135)</f>
        <v>0</v>
      </c>
    </row>
    <row r="9" spans="1:14" x14ac:dyDescent="0.25">
      <c r="A9" s="2" t="s">
        <v>127</v>
      </c>
      <c r="B9" s="2">
        <f>COUNTIF(C12:C131, "&lt;"&amp;C135)</f>
        <v>0</v>
      </c>
      <c r="N9" t="s">
        <v>154</v>
      </c>
    </row>
    <row r="11" spans="1:14" x14ac:dyDescent="0.25">
      <c r="A11" s="1" t="s">
        <v>35</v>
      </c>
      <c r="B11" s="1" t="s">
        <v>99</v>
      </c>
      <c r="C11" s="1" t="s">
        <v>100</v>
      </c>
    </row>
    <row r="12" spans="1:14" x14ac:dyDescent="0.25">
      <c r="A12" s="2">
        <v>0</v>
      </c>
      <c r="B12" s="2"/>
      <c r="C12" s="2"/>
    </row>
    <row r="13" spans="1:14" x14ac:dyDescent="0.25">
      <c r="A13" s="2">
        <v>1</v>
      </c>
      <c r="B13" s="2"/>
      <c r="C13" s="2"/>
    </row>
    <row r="14" spans="1:14" x14ac:dyDescent="0.25">
      <c r="A14" s="2">
        <v>2</v>
      </c>
      <c r="B14" s="2"/>
      <c r="C14" s="2"/>
    </row>
    <row r="15" spans="1:14" x14ac:dyDescent="0.25">
      <c r="A15" s="2">
        <v>3</v>
      </c>
      <c r="B15" s="2"/>
      <c r="C15" s="2"/>
    </row>
    <row r="16" spans="1:14" x14ac:dyDescent="0.25">
      <c r="A16" s="2">
        <v>4</v>
      </c>
      <c r="B16" s="2"/>
      <c r="C16" s="2"/>
    </row>
    <row r="17" spans="1:3" x14ac:dyDescent="0.25">
      <c r="A17" s="2">
        <v>5</v>
      </c>
      <c r="B17" s="2"/>
      <c r="C17" s="2"/>
    </row>
    <row r="18" spans="1:3" x14ac:dyDescent="0.25">
      <c r="A18" s="2">
        <v>6</v>
      </c>
      <c r="B18" s="2"/>
      <c r="C18" s="2"/>
    </row>
    <row r="19" spans="1:3" x14ac:dyDescent="0.25">
      <c r="A19" s="2">
        <v>7</v>
      </c>
      <c r="B19" s="2"/>
      <c r="C19" s="2"/>
    </row>
    <row r="20" spans="1:3" x14ac:dyDescent="0.25">
      <c r="A20" s="2">
        <v>8</v>
      </c>
      <c r="B20" s="2"/>
      <c r="C20" s="2"/>
    </row>
    <row r="21" spans="1:3" x14ac:dyDescent="0.25">
      <c r="A21" s="2">
        <v>9</v>
      </c>
      <c r="B21" s="2"/>
      <c r="C21" s="2"/>
    </row>
    <row r="22" spans="1:3" x14ac:dyDescent="0.25">
      <c r="A22" s="2">
        <v>10</v>
      </c>
      <c r="B22" s="2"/>
      <c r="C22" s="2"/>
    </row>
    <row r="23" spans="1:3" x14ac:dyDescent="0.25">
      <c r="A23" s="2">
        <v>11</v>
      </c>
      <c r="B23" s="2"/>
      <c r="C23" s="2"/>
    </row>
    <row r="24" spans="1:3" x14ac:dyDescent="0.25">
      <c r="A24" s="2">
        <v>12</v>
      </c>
      <c r="B24" s="2"/>
      <c r="C24" s="2"/>
    </row>
    <row r="25" spans="1:3" x14ac:dyDescent="0.25">
      <c r="A25" s="2">
        <v>13</v>
      </c>
      <c r="B25" s="2"/>
      <c r="C25" s="2"/>
    </row>
    <row r="26" spans="1:3" x14ac:dyDescent="0.25">
      <c r="A26" s="2">
        <v>14</v>
      </c>
      <c r="B26" s="2"/>
      <c r="C26" s="2"/>
    </row>
    <row r="27" spans="1:3" x14ac:dyDescent="0.25">
      <c r="A27" s="2">
        <v>15</v>
      </c>
      <c r="B27" s="2"/>
      <c r="C27" s="2"/>
    </row>
    <row r="28" spans="1:3" x14ac:dyDescent="0.25">
      <c r="A28" s="2">
        <v>16</v>
      </c>
      <c r="B28" s="2"/>
      <c r="C28" s="2"/>
    </row>
    <row r="29" spans="1:3" x14ac:dyDescent="0.25">
      <c r="A29" s="2">
        <v>17</v>
      </c>
      <c r="B29" s="2"/>
      <c r="C29" s="2"/>
    </row>
    <row r="30" spans="1:3" x14ac:dyDescent="0.25">
      <c r="A30" s="2">
        <v>18</v>
      </c>
      <c r="B30" s="2"/>
      <c r="C30" s="2"/>
    </row>
    <row r="31" spans="1:3" x14ac:dyDescent="0.25">
      <c r="A31" s="2">
        <v>19</v>
      </c>
      <c r="B31" s="2"/>
      <c r="C31" s="2"/>
    </row>
    <row r="32" spans="1:3" x14ac:dyDescent="0.25">
      <c r="A32" s="2">
        <v>20</v>
      </c>
      <c r="B32" s="2"/>
      <c r="C32" s="2"/>
    </row>
    <row r="33" spans="1:3" x14ac:dyDescent="0.25">
      <c r="A33" s="2">
        <v>21</v>
      </c>
      <c r="B33" s="2"/>
      <c r="C33" s="2"/>
    </row>
    <row r="34" spans="1:3" x14ac:dyDescent="0.25">
      <c r="A34" s="2">
        <v>22</v>
      </c>
      <c r="B34" s="2"/>
      <c r="C34" s="2"/>
    </row>
    <row r="35" spans="1:3" x14ac:dyDescent="0.25">
      <c r="A35" s="2">
        <v>23</v>
      </c>
      <c r="B35" s="2"/>
      <c r="C35" s="2"/>
    </row>
    <row r="36" spans="1:3" x14ac:dyDescent="0.25">
      <c r="A36" s="2">
        <v>24</v>
      </c>
      <c r="B36" s="2"/>
      <c r="C36" s="2"/>
    </row>
    <row r="37" spans="1:3" x14ac:dyDescent="0.25">
      <c r="A37" s="2">
        <v>25</v>
      </c>
      <c r="B37" s="2"/>
      <c r="C37" s="2"/>
    </row>
    <row r="38" spans="1:3" x14ac:dyDescent="0.25">
      <c r="A38" s="2">
        <v>26</v>
      </c>
      <c r="B38" s="2"/>
      <c r="C38" s="2"/>
    </row>
    <row r="39" spans="1:3" x14ac:dyDescent="0.25">
      <c r="A39" s="2">
        <v>27</v>
      </c>
      <c r="B39" s="2"/>
      <c r="C39" s="2"/>
    </row>
    <row r="40" spans="1:3" x14ac:dyDescent="0.25">
      <c r="A40" s="2">
        <v>28</v>
      </c>
      <c r="B40" s="2"/>
      <c r="C40" s="2"/>
    </row>
    <row r="41" spans="1:3" x14ac:dyDescent="0.25">
      <c r="A41" s="2">
        <v>29</v>
      </c>
      <c r="B41" s="2"/>
      <c r="C41" s="2"/>
    </row>
    <row r="42" spans="1:3" x14ac:dyDescent="0.25">
      <c r="A42" s="2">
        <v>30</v>
      </c>
      <c r="B42" s="2"/>
      <c r="C42" s="2"/>
    </row>
    <row r="43" spans="1:3" x14ac:dyDescent="0.25">
      <c r="A43" s="2">
        <v>31</v>
      </c>
      <c r="B43" s="2"/>
      <c r="C43" s="2"/>
    </row>
    <row r="44" spans="1:3" x14ac:dyDescent="0.25">
      <c r="A44" s="2">
        <v>32</v>
      </c>
      <c r="B44" s="2"/>
      <c r="C44" s="2"/>
    </row>
    <row r="45" spans="1:3" x14ac:dyDescent="0.25">
      <c r="A45" s="2">
        <v>33</v>
      </c>
      <c r="B45" s="2"/>
      <c r="C45" s="2"/>
    </row>
    <row r="46" spans="1:3" x14ac:dyDescent="0.25">
      <c r="A46" s="2">
        <v>34</v>
      </c>
      <c r="B46" s="2"/>
      <c r="C46" s="2"/>
    </row>
    <row r="47" spans="1:3" x14ac:dyDescent="0.25">
      <c r="A47" s="2">
        <v>35</v>
      </c>
      <c r="B47" s="2"/>
      <c r="C47" s="2"/>
    </row>
    <row r="48" spans="1:3" x14ac:dyDescent="0.25">
      <c r="A48" s="2">
        <v>36</v>
      </c>
      <c r="B48" s="2"/>
      <c r="C48" s="2"/>
    </row>
    <row r="49" spans="1:3" x14ac:dyDescent="0.25">
      <c r="A49" s="2">
        <v>37</v>
      </c>
      <c r="B49" s="2"/>
      <c r="C49" s="2"/>
    </row>
    <row r="50" spans="1:3" x14ac:dyDescent="0.25">
      <c r="A50" s="2">
        <v>38</v>
      </c>
      <c r="B50" s="2"/>
      <c r="C50" s="2"/>
    </row>
    <row r="51" spans="1:3" x14ac:dyDescent="0.25">
      <c r="A51" s="2">
        <v>39</v>
      </c>
      <c r="B51" s="2"/>
      <c r="C51" s="2"/>
    </row>
    <row r="52" spans="1:3" x14ac:dyDescent="0.25">
      <c r="A52" s="2">
        <v>40</v>
      </c>
      <c r="B52" s="2"/>
      <c r="C52" s="2"/>
    </row>
    <row r="53" spans="1:3" x14ac:dyDescent="0.25">
      <c r="A53" s="2">
        <v>41</v>
      </c>
      <c r="B53" s="2"/>
      <c r="C53" s="2"/>
    </row>
    <row r="54" spans="1:3" x14ac:dyDescent="0.25">
      <c r="A54" s="2">
        <v>42</v>
      </c>
      <c r="B54" s="2"/>
      <c r="C54" s="2"/>
    </row>
    <row r="55" spans="1:3" x14ac:dyDescent="0.25">
      <c r="A55" s="2">
        <v>43</v>
      </c>
      <c r="B55" s="2"/>
      <c r="C55" s="2"/>
    </row>
    <row r="56" spans="1:3" x14ac:dyDescent="0.25">
      <c r="A56" s="2">
        <v>44</v>
      </c>
      <c r="B56" s="2"/>
      <c r="C56" s="2"/>
    </row>
    <row r="57" spans="1:3" x14ac:dyDescent="0.25">
      <c r="A57" s="2">
        <v>45</v>
      </c>
      <c r="B57" s="2"/>
      <c r="C57" s="2"/>
    </row>
    <row r="58" spans="1:3" x14ac:dyDescent="0.25">
      <c r="A58" s="2">
        <v>46</v>
      </c>
      <c r="B58" s="2"/>
      <c r="C58" s="2"/>
    </row>
    <row r="59" spans="1:3" x14ac:dyDescent="0.25">
      <c r="A59" s="2">
        <v>47</v>
      </c>
      <c r="B59" s="2"/>
      <c r="C59" s="2"/>
    </row>
    <row r="60" spans="1:3" x14ac:dyDescent="0.25">
      <c r="A60" s="2">
        <v>48</v>
      </c>
      <c r="B60" s="2"/>
      <c r="C60" s="2"/>
    </row>
    <row r="61" spans="1:3" x14ac:dyDescent="0.25">
      <c r="A61" s="2">
        <v>49</v>
      </c>
      <c r="B61" s="2"/>
      <c r="C61" s="2"/>
    </row>
    <row r="62" spans="1:3" x14ac:dyDescent="0.25">
      <c r="A62" s="2">
        <v>50</v>
      </c>
      <c r="B62" s="2"/>
      <c r="C62" s="2"/>
    </row>
    <row r="63" spans="1:3" x14ac:dyDescent="0.25">
      <c r="A63" s="2">
        <v>51</v>
      </c>
      <c r="B63" s="2"/>
      <c r="C63" s="2"/>
    </row>
    <row r="64" spans="1:3" x14ac:dyDescent="0.25">
      <c r="A64" s="2">
        <v>52</v>
      </c>
      <c r="B64" s="2"/>
      <c r="C64" s="2"/>
    </row>
    <row r="65" spans="1:3" x14ac:dyDescent="0.25">
      <c r="A65" s="2">
        <v>53</v>
      </c>
      <c r="B65" s="2"/>
      <c r="C65" s="2"/>
    </row>
    <row r="66" spans="1:3" x14ac:dyDescent="0.25">
      <c r="A66" s="2">
        <v>54</v>
      </c>
      <c r="B66" s="2"/>
      <c r="C66" s="2"/>
    </row>
    <row r="67" spans="1:3" x14ac:dyDescent="0.25">
      <c r="A67" s="2">
        <v>55</v>
      </c>
      <c r="B67" s="2"/>
      <c r="C67" s="2"/>
    </row>
    <row r="68" spans="1:3" x14ac:dyDescent="0.25">
      <c r="A68" s="2">
        <v>56</v>
      </c>
      <c r="B68" s="2"/>
      <c r="C68" s="2"/>
    </row>
    <row r="69" spans="1:3" x14ac:dyDescent="0.25">
      <c r="A69" s="2">
        <v>57</v>
      </c>
      <c r="B69" s="2"/>
      <c r="C69" s="2"/>
    </row>
    <row r="70" spans="1:3" x14ac:dyDescent="0.25">
      <c r="A70" s="2">
        <v>58</v>
      </c>
      <c r="B70" s="2"/>
      <c r="C70" s="2"/>
    </row>
    <row r="71" spans="1:3" x14ac:dyDescent="0.25">
      <c r="A71" s="2">
        <v>59</v>
      </c>
      <c r="B71" s="2"/>
      <c r="C71" s="2"/>
    </row>
    <row r="72" spans="1:3" x14ac:dyDescent="0.25">
      <c r="A72" s="2">
        <v>60</v>
      </c>
      <c r="B72" s="2"/>
      <c r="C72" s="2"/>
    </row>
    <row r="73" spans="1:3" x14ac:dyDescent="0.25">
      <c r="A73" s="2">
        <v>61</v>
      </c>
      <c r="B73" s="2"/>
      <c r="C73" s="2"/>
    </row>
    <row r="74" spans="1:3" x14ac:dyDescent="0.25">
      <c r="A74" s="2">
        <v>62</v>
      </c>
      <c r="B74" s="2"/>
      <c r="C74" s="2"/>
    </row>
    <row r="75" spans="1:3" x14ac:dyDescent="0.25">
      <c r="A75" s="2">
        <v>63</v>
      </c>
      <c r="B75" s="2"/>
      <c r="C75" s="2"/>
    </row>
    <row r="76" spans="1:3" x14ac:dyDescent="0.25">
      <c r="A76" s="2">
        <v>64</v>
      </c>
      <c r="B76" s="2"/>
      <c r="C76" s="2"/>
    </row>
    <row r="77" spans="1:3" x14ac:dyDescent="0.25">
      <c r="A77" s="2">
        <v>65</v>
      </c>
      <c r="B77" s="2"/>
      <c r="C77" s="2"/>
    </row>
    <row r="78" spans="1:3" x14ac:dyDescent="0.25">
      <c r="A78" s="2">
        <v>66</v>
      </c>
      <c r="B78" s="2"/>
      <c r="C78" s="2"/>
    </row>
    <row r="79" spans="1:3" x14ac:dyDescent="0.25">
      <c r="A79" s="2">
        <v>67</v>
      </c>
      <c r="B79" s="2"/>
      <c r="C79" s="2"/>
    </row>
    <row r="80" spans="1:3" x14ac:dyDescent="0.25">
      <c r="A80" s="2">
        <v>68</v>
      </c>
      <c r="B80" s="2"/>
      <c r="C80" s="2"/>
    </row>
    <row r="81" spans="1:3" x14ac:dyDescent="0.25">
      <c r="A81" s="2">
        <v>69</v>
      </c>
      <c r="B81" s="2"/>
      <c r="C81" s="2"/>
    </row>
    <row r="82" spans="1:3" x14ac:dyDescent="0.25">
      <c r="A82" s="2">
        <v>70</v>
      </c>
      <c r="B82" s="2"/>
      <c r="C82" s="2"/>
    </row>
    <row r="83" spans="1:3" x14ac:dyDescent="0.25">
      <c r="A83" s="2">
        <v>71</v>
      </c>
      <c r="B83" s="2"/>
      <c r="C83" s="2"/>
    </row>
    <row r="84" spans="1:3" x14ac:dyDescent="0.25">
      <c r="A84" s="2">
        <v>72</v>
      </c>
      <c r="B84" s="2"/>
      <c r="C84" s="2"/>
    </row>
    <row r="85" spans="1:3" x14ac:dyDescent="0.25">
      <c r="A85" s="2">
        <v>73</v>
      </c>
      <c r="B85" s="2"/>
      <c r="C85" s="2"/>
    </row>
    <row r="86" spans="1:3" x14ac:dyDescent="0.25">
      <c r="A86" s="2">
        <v>74</v>
      </c>
      <c r="B86" s="2"/>
      <c r="C86" s="2"/>
    </row>
    <row r="87" spans="1:3" x14ac:dyDescent="0.25">
      <c r="A87" s="2">
        <v>75</v>
      </c>
      <c r="B87" s="2"/>
      <c r="C87" s="2"/>
    </row>
    <row r="88" spans="1:3" x14ac:dyDescent="0.25">
      <c r="A88" s="2">
        <v>76</v>
      </c>
      <c r="B88" s="2"/>
      <c r="C88" s="2"/>
    </row>
    <row r="89" spans="1:3" x14ac:dyDescent="0.25">
      <c r="A89" s="2">
        <v>77</v>
      </c>
      <c r="B89" s="2"/>
      <c r="C89" s="2"/>
    </row>
    <row r="90" spans="1:3" x14ac:dyDescent="0.25">
      <c r="A90" s="2">
        <v>78</v>
      </c>
      <c r="B90" s="2"/>
      <c r="C90" s="2"/>
    </row>
    <row r="91" spans="1:3" x14ac:dyDescent="0.25">
      <c r="A91" s="2">
        <v>79</v>
      </c>
      <c r="B91" s="2"/>
      <c r="C91" s="2"/>
    </row>
    <row r="92" spans="1:3" x14ac:dyDescent="0.25">
      <c r="A92" s="2">
        <v>80</v>
      </c>
      <c r="B92" s="2"/>
      <c r="C92" s="2"/>
    </row>
    <row r="93" spans="1:3" x14ac:dyDescent="0.25">
      <c r="A93" s="2">
        <v>81</v>
      </c>
      <c r="B93" s="2"/>
      <c r="C93" s="2"/>
    </row>
    <row r="94" spans="1:3" x14ac:dyDescent="0.25">
      <c r="A94" s="2">
        <v>82</v>
      </c>
      <c r="B94" s="2"/>
      <c r="C94" s="2"/>
    </row>
    <row r="95" spans="1:3" x14ac:dyDescent="0.25">
      <c r="A95" s="2">
        <v>83</v>
      </c>
      <c r="B95" s="2"/>
      <c r="C95" s="2"/>
    </row>
    <row r="96" spans="1:3" x14ac:dyDescent="0.25">
      <c r="A96" s="2">
        <v>84</v>
      </c>
      <c r="B96" s="2"/>
      <c r="C96" s="2"/>
    </row>
    <row r="97" spans="1:3" x14ac:dyDescent="0.25">
      <c r="A97" s="2">
        <v>85</v>
      </c>
      <c r="B97" s="2"/>
      <c r="C97" s="2"/>
    </row>
    <row r="98" spans="1:3" x14ac:dyDescent="0.25">
      <c r="A98" s="2">
        <v>86</v>
      </c>
      <c r="B98" s="2"/>
      <c r="C98" s="2"/>
    </row>
    <row r="99" spans="1:3" x14ac:dyDescent="0.25">
      <c r="A99" s="2">
        <v>87</v>
      </c>
      <c r="B99" s="2"/>
      <c r="C99" s="2"/>
    </row>
    <row r="100" spans="1:3" x14ac:dyDescent="0.25">
      <c r="A100" s="2">
        <v>88</v>
      </c>
      <c r="B100" s="2"/>
      <c r="C100" s="2"/>
    </row>
    <row r="101" spans="1:3" x14ac:dyDescent="0.25">
      <c r="A101" s="2">
        <v>89</v>
      </c>
      <c r="B101" s="2"/>
      <c r="C101" s="2"/>
    </row>
    <row r="102" spans="1:3" x14ac:dyDescent="0.25">
      <c r="A102" s="2">
        <v>90</v>
      </c>
      <c r="B102" s="2"/>
      <c r="C102" s="2"/>
    </row>
    <row r="103" spans="1:3" x14ac:dyDescent="0.25">
      <c r="A103" s="2">
        <v>91</v>
      </c>
      <c r="B103" s="2"/>
      <c r="C103" s="2"/>
    </row>
    <row r="104" spans="1:3" x14ac:dyDescent="0.25">
      <c r="A104" s="2">
        <v>92</v>
      </c>
      <c r="B104" s="2"/>
      <c r="C104" s="2"/>
    </row>
    <row r="105" spans="1:3" x14ac:dyDescent="0.25">
      <c r="A105" s="2">
        <v>93</v>
      </c>
      <c r="B105" s="2"/>
      <c r="C105" s="2"/>
    </row>
    <row r="106" spans="1:3" x14ac:dyDescent="0.25">
      <c r="A106" s="2">
        <v>94</v>
      </c>
      <c r="B106" s="2"/>
      <c r="C106" s="2"/>
    </row>
    <row r="107" spans="1:3" x14ac:dyDescent="0.25">
      <c r="A107" s="2">
        <v>95</v>
      </c>
      <c r="B107" s="2"/>
      <c r="C107" s="2"/>
    </row>
    <row r="108" spans="1:3" x14ac:dyDescent="0.25">
      <c r="A108" s="2">
        <v>96</v>
      </c>
      <c r="B108" s="2"/>
      <c r="C108" s="2"/>
    </row>
    <row r="109" spans="1:3" x14ac:dyDescent="0.25">
      <c r="A109" s="2">
        <v>97</v>
      </c>
      <c r="B109" s="2"/>
      <c r="C109" s="2"/>
    </row>
    <row r="110" spans="1:3" x14ac:dyDescent="0.25">
      <c r="A110" s="2">
        <v>98</v>
      </c>
      <c r="B110" s="2"/>
      <c r="C110" s="2"/>
    </row>
    <row r="111" spans="1:3" x14ac:dyDescent="0.25">
      <c r="A111" s="2">
        <v>99</v>
      </c>
      <c r="B111" s="2"/>
      <c r="C111" s="2"/>
    </row>
    <row r="112" spans="1:3" x14ac:dyDescent="0.25">
      <c r="A112" s="2">
        <v>100</v>
      </c>
      <c r="B112" s="2"/>
      <c r="C112" s="2"/>
    </row>
    <row r="113" spans="1:3" x14ac:dyDescent="0.25">
      <c r="A113" s="2">
        <v>101</v>
      </c>
      <c r="B113" s="2"/>
      <c r="C113" s="2"/>
    </row>
    <row r="114" spans="1:3" x14ac:dyDescent="0.25">
      <c r="A114" s="2">
        <v>102</v>
      </c>
      <c r="B114" s="2"/>
      <c r="C114" s="2"/>
    </row>
    <row r="115" spans="1:3" x14ac:dyDescent="0.25">
      <c r="A115" s="2">
        <v>103</v>
      </c>
      <c r="B115" s="2"/>
      <c r="C115" s="2"/>
    </row>
    <row r="116" spans="1:3" x14ac:dyDescent="0.25">
      <c r="A116" s="2">
        <v>104</v>
      </c>
      <c r="B116" s="2"/>
      <c r="C116" s="2"/>
    </row>
    <row r="117" spans="1:3" x14ac:dyDescent="0.25">
      <c r="A117" s="2">
        <v>105</v>
      </c>
      <c r="B117" s="2"/>
      <c r="C117" s="2"/>
    </row>
    <row r="118" spans="1:3" x14ac:dyDescent="0.25">
      <c r="A118" s="2">
        <v>106</v>
      </c>
      <c r="B118" s="2"/>
      <c r="C118" s="2"/>
    </row>
    <row r="119" spans="1:3" x14ac:dyDescent="0.25">
      <c r="A119" s="2">
        <v>107</v>
      </c>
      <c r="B119" s="2"/>
      <c r="C119" s="2"/>
    </row>
    <row r="120" spans="1:3" x14ac:dyDescent="0.25">
      <c r="A120" s="2">
        <v>108</v>
      </c>
      <c r="B120" s="2"/>
      <c r="C120" s="2"/>
    </row>
    <row r="121" spans="1:3" x14ac:dyDescent="0.25">
      <c r="A121" s="2">
        <v>109</v>
      </c>
      <c r="B121" s="2"/>
      <c r="C121" s="2"/>
    </row>
    <row r="122" spans="1:3" x14ac:dyDescent="0.25">
      <c r="A122" s="2">
        <v>110</v>
      </c>
      <c r="B122" s="2"/>
      <c r="C122" s="2"/>
    </row>
    <row r="123" spans="1:3" x14ac:dyDescent="0.25">
      <c r="A123" s="2">
        <v>111</v>
      </c>
      <c r="B123" s="2"/>
      <c r="C123" s="2"/>
    </row>
    <row r="124" spans="1:3" x14ac:dyDescent="0.25">
      <c r="A124" s="2">
        <v>112</v>
      </c>
      <c r="B124" s="2"/>
      <c r="C124" s="2"/>
    </row>
    <row r="125" spans="1:3" x14ac:dyDescent="0.25">
      <c r="A125" s="2">
        <v>113</v>
      </c>
      <c r="B125" s="2"/>
      <c r="C125" s="2"/>
    </row>
    <row r="126" spans="1:3" x14ac:dyDescent="0.25">
      <c r="A126" s="2">
        <v>114</v>
      </c>
      <c r="B126" s="2"/>
      <c r="C126" s="2"/>
    </row>
    <row r="127" spans="1:3" x14ac:dyDescent="0.25">
      <c r="A127" s="2">
        <v>115</v>
      </c>
      <c r="B127" s="2"/>
      <c r="C127" s="2"/>
    </row>
    <row r="128" spans="1:3" x14ac:dyDescent="0.25">
      <c r="A128" s="2">
        <v>116</v>
      </c>
      <c r="B128" s="2"/>
      <c r="C128" s="2"/>
    </row>
    <row r="129" spans="1:3" x14ac:dyDescent="0.25">
      <c r="A129" s="2">
        <v>117</v>
      </c>
      <c r="B129" s="2"/>
      <c r="C129" s="2"/>
    </row>
    <row r="130" spans="1:3" x14ac:dyDescent="0.25">
      <c r="A130" s="2">
        <v>118</v>
      </c>
      <c r="B130" s="2"/>
      <c r="C130" s="2"/>
    </row>
    <row r="131" spans="1:3" x14ac:dyDescent="0.25">
      <c r="A131" s="2">
        <v>119</v>
      </c>
      <c r="B131" s="2"/>
      <c r="C131" s="2"/>
    </row>
    <row r="133" spans="1:3" x14ac:dyDescent="0.25">
      <c r="A133" s="2" t="s">
        <v>34</v>
      </c>
      <c r="B133" s="2" t="e">
        <f>AVERAGE(B12:B42,B101:B131)+profile_1_baseline_offset_</f>
        <v>#DIV/0!</v>
      </c>
      <c r="C133" s="2" t="e">
        <f>AVERAGE(C12:C42,C101:C131)+profile_2_baseline_offset_</f>
        <v>#DIV/0!</v>
      </c>
    </row>
    <row r="134" spans="1:3" x14ac:dyDescent="0.25">
      <c r="A134" s="2" t="s">
        <v>33</v>
      </c>
      <c r="B134" s="2">
        <f>MIN(B12:B131)+_xlfn.SINGLE(profile_1_min_offset_)</f>
        <v>25</v>
      </c>
      <c r="C134" s="2">
        <f>MIN(C12:C131)+_xlfn.SINGLE(profile_2_min_offset_)</f>
        <v>25</v>
      </c>
    </row>
    <row r="135" spans="1:3" x14ac:dyDescent="0.25">
      <c r="A135" s="2" t="s">
        <v>36</v>
      </c>
      <c r="B135" s="2" t="e">
        <f>B134+(B133-B134)/2</f>
        <v>#DIV/0!</v>
      </c>
      <c r="C135" s="2" t="e">
        <f>C134+(C133-C134)/2</f>
        <v>#DIV/0!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885B-A45F-BF42-AFF8-3E1BE89257FB}">
  <dimension ref="A1:N135"/>
  <sheetViews>
    <sheetView workbookViewId="0">
      <selection activeCell="Q28" sqref="Q28"/>
    </sheetView>
  </sheetViews>
  <sheetFormatPr defaultColWidth="8.85546875" defaultRowHeight="15" x14ac:dyDescent="0.25"/>
  <cols>
    <col min="1" max="1" width="35.42578125" bestFit="1" customWidth="1"/>
    <col min="2" max="3" width="18.42578125" bestFit="1" customWidth="1"/>
    <col min="4" max="5" width="15.28515625" bestFit="1" customWidth="1"/>
    <col min="6" max="7" width="15.7109375" bestFit="1" customWidth="1"/>
  </cols>
  <sheetData>
    <row r="1" spans="1:14" x14ac:dyDescent="0.25">
      <c r="A1" s="5" t="s">
        <v>37</v>
      </c>
      <c r="B1" s="5" t="s">
        <v>4</v>
      </c>
    </row>
    <row r="2" spans="1:14" x14ac:dyDescent="0.25">
      <c r="A2" s="6" t="s">
        <v>123</v>
      </c>
      <c r="B2" s="2">
        <v>0</v>
      </c>
    </row>
    <row r="3" spans="1:14" x14ac:dyDescent="0.25">
      <c r="A3" s="6" t="s">
        <v>122</v>
      </c>
      <c r="B3" s="2">
        <v>25</v>
      </c>
    </row>
    <row r="4" spans="1:14" x14ac:dyDescent="0.25">
      <c r="A4" s="6" t="s">
        <v>124</v>
      </c>
      <c r="B4" s="2">
        <v>0</v>
      </c>
    </row>
    <row r="5" spans="1:14" x14ac:dyDescent="0.25">
      <c r="A5" s="6" t="s">
        <v>125</v>
      </c>
      <c r="B5" s="2">
        <v>25</v>
      </c>
    </row>
    <row r="7" spans="1:14" x14ac:dyDescent="0.25">
      <c r="A7" s="5" t="s">
        <v>12</v>
      </c>
      <c r="B7" s="5" t="s">
        <v>4</v>
      </c>
    </row>
    <row r="8" spans="1:14" x14ac:dyDescent="0.25">
      <c r="A8" s="2" t="s">
        <v>126</v>
      </c>
      <c r="B8" s="2">
        <f>COUNTIF(B12:B131, "&lt;"&amp;B135)</f>
        <v>0</v>
      </c>
    </row>
    <row r="9" spans="1:14" x14ac:dyDescent="0.25">
      <c r="A9" s="2" t="s">
        <v>127</v>
      </c>
      <c r="B9" s="2">
        <f>COUNTIF(C12:C131, "&lt;"&amp;C135)</f>
        <v>0</v>
      </c>
      <c r="N9" t="s">
        <v>158</v>
      </c>
    </row>
    <row r="11" spans="1:14" x14ac:dyDescent="0.25">
      <c r="A11" s="1" t="s">
        <v>35</v>
      </c>
      <c r="B11" s="1" t="s">
        <v>99</v>
      </c>
      <c r="C11" s="1" t="s">
        <v>100</v>
      </c>
    </row>
    <row r="12" spans="1:14" x14ac:dyDescent="0.25">
      <c r="A12" s="2">
        <v>0</v>
      </c>
      <c r="B12" s="2"/>
      <c r="C12" s="2"/>
    </row>
    <row r="13" spans="1:14" x14ac:dyDescent="0.25">
      <c r="A13" s="2">
        <v>1</v>
      </c>
      <c r="B13" s="2"/>
      <c r="C13" s="2"/>
    </row>
    <row r="14" spans="1:14" x14ac:dyDescent="0.25">
      <c r="A14" s="2">
        <v>2</v>
      </c>
      <c r="B14" s="2"/>
      <c r="C14" s="2"/>
    </row>
    <row r="15" spans="1:14" x14ac:dyDescent="0.25">
      <c r="A15" s="2">
        <v>3</v>
      </c>
      <c r="B15" s="2"/>
      <c r="C15" s="2"/>
    </row>
    <row r="16" spans="1:14" x14ac:dyDescent="0.25">
      <c r="A16" s="2">
        <v>4</v>
      </c>
      <c r="B16" s="2"/>
      <c r="C16" s="2"/>
    </row>
    <row r="17" spans="1:3" x14ac:dyDescent="0.25">
      <c r="A17" s="2">
        <v>5</v>
      </c>
      <c r="B17" s="2"/>
      <c r="C17" s="2"/>
    </row>
    <row r="18" spans="1:3" x14ac:dyDescent="0.25">
      <c r="A18" s="2">
        <v>6</v>
      </c>
      <c r="B18" s="2"/>
      <c r="C18" s="2"/>
    </row>
    <row r="19" spans="1:3" x14ac:dyDescent="0.25">
      <c r="A19" s="2">
        <v>7</v>
      </c>
      <c r="B19" s="2"/>
      <c r="C19" s="2"/>
    </row>
    <row r="20" spans="1:3" x14ac:dyDescent="0.25">
      <c r="A20" s="2">
        <v>8</v>
      </c>
      <c r="B20" s="2"/>
      <c r="C20" s="2"/>
    </row>
    <row r="21" spans="1:3" x14ac:dyDescent="0.25">
      <c r="A21" s="2">
        <v>9</v>
      </c>
      <c r="B21" s="2"/>
      <c r="C21" s="2"/>
    </row>
    <row r="22" spans="1:3" x14ac:dyDescent="0.25">
      <c r="A22" s="2">
        <v>10</v>
      </c>
      <c r="B22" s="2"/>
      <c r="C22" s="2"/>
    </row>
    <row r="23" spans="1:3" x14ac:dyDescent="0.25">
      <c r="A23" s="2">
        <v>11</v>
      </c>
      <c r="B23" s="2"/>
      <c r="C23" s="2"/>
    </row>
    <row r="24" spans="1:3" x14ac:dyDescent="0.25">
      <c r="A24" s="2">
        <v>12</v>
      </c>
      <c r="B24" s="2"/>
      <c r="C24" s="2"/>
    </row>
    <row r="25" spans="1:3" x14ac:dyDescent="0.25">
      <c r="A25" s="2">
        <v>13</v>
      </c>
      <c r="B25" s="2"/>
      <c r="C25" s="2"/>
    </row>
    <row r="26" spans="1:3" x14ac:dyDescent="0.25">
      <c r="A26" s="2">
        <v>14</v>
      </c>
      <c r="B26" s="2"/>
      <c r="C26" s="2"/>
    </row>
    <row r="27" spans="1:3" x14ac:dyDescent="0.25">
      <c r="A27" s="2">
        <v>15</v>
      </c>
      <c r="B27" s="2"/>
      <c r="C27" s="2"/>
    </row>
    <row r="28" spans="1:3" x14ac:dyDescent="0.25">
      <c r="A28" s="2">
        <v>16</v>
      </c>
      <c r="B28" s="2"/>
      <c r="C28" s="2"/>
    </row>
    <row r="29" spans="1:3" x14ac:dyDescent="0.25">
      <c r="A29" s="2">
        <v>17</v>
      </c>
      <c r="B29" s="2"/>
      <c r="C29" s="2"/>
    </row>
    <row r="30" spans="1:3" x14ac:dyDescent="0.25">
      <c r="A30" s="2">
        <v>18</v>
      </c>
      <c r="B30" s="2"/>
      <c r="C30" s="2"/>
    </row>
    <row r="31" spans="1:3" x14ac:dyDescent="0.25">
      <c r="A31" s="2">
        <v>19</v>
      </c>
      <c r="B31" s="2"/>
      <c r="C31" s="2"/>
    </row>
    <row r="32" spans="1:3" x14ac:dyDescent="0.25">
      <c r="A32" s="2">
        <v>20</v>
      </c>
      <c r="B32" s="2"/>
      <c r="C32" s="2"/>
    </row>
    <row r="33" spans="1:3" x14ac:dyDescent="0.25">
      <c r="A33" s="2">
        <v>21</v>
      </c>
      <c r="B33" s="2"/>
      <c r="C33" s="2"/>
    </row>
    <row r="34" spans="1:3" x14ac:dyDescent="0.25">
      <c r="A34" s="2">
        <v>22</v>
      </c>
      <c r="B34" s="2"/>
      <c r="C34" s="2"/>
    </row>
    <row r="35" spans="1:3" x14ac:dyDescent="0.25">
      <c r="A35" s="2">
        <v>23</v>
      </c>
      <c r="B35" s="2"/>
      <c r="C35" s="2"/>
    </row>
    <row r="36" spans="1:3" x14ac:dyDescent="0.25">
      <c r="A36" s="2">
        <v>24</v>
      </c>
      <c r="B36" s="2"/>
      <c r="C36" s="2"/>
    </row>
    <row r="37" spans="1:3" x14ac:dyDescent="0.25">
      <c r="A37" s="2">
        <v>25</v>
      </c>
      <c r="B37" s="2"/>
      <c r="C37" s="2"/>
    </row>
    <row r="38" spans="1:3" x14ac:dyDescent="0.25">
      <c r="A38" s="2">
        <v>26</v>
      </c>
      <c r="B38" s="2"/>
      <c r="C38" s="2"/>
    </row>
    <row r="39" spans="1:3" x14ac:dyDescent="0.25">
      <c r="A39" s="2">
        <v>27</v>
      </c>
      <c r="B39" s="2"/>
      <c r="C39" s="2"/>
    </row>
    <row r="40" spans="1:3" x14ac:dyDescent="0.25">
      <c r="A40" s="2">
        <v>28</v>
      </c>
      <c r="B40" s="2"/>
      <c r="C40" s="2"/>
    </row>
    <row r="41" spans="1:3" x14ac:dyDescent="0.25">
      <c r="A41" s="2">
        <v>29</v>
      </c>
      <c r="B41" s="2"/>
      <c r="C41" s="2"/>
    </row>
    <row r="42" spans="1:3" x14ac:dyDescent="0.25">
      <c r="A42" s="2">
        <v>30</v>
      </c>
      <c r="B42" s="2"/>
      <c r="C42" s="2"/>
    </row>
    <row r="43" spans="1:3" x14ac:dyDescent="0.25">
      <c r="A43" s="2">
        <v>31</v>
      </c>
      <c r="B43" s="2"/>
      <c r="C43" s="2"/>
    </row>
    <row r="44" spans="1:3" x14ac:dyDescent="0.25">
      <c r="A44" s="2">
        <v>32</v>
      </c>
      <c r="B44" s="2"/>
      <c r="C44" s="2"/>
    </row>
    <row r="45" spans="1:3" x14ac:dyDescent="0.25">
      <c r="A45" s="2">
        <v>33</v>
      </c>
      <c r="B45" s="2"/>
      <c r="C45" s="2"/>
    </row>
    <row r="46" spans="1:3" x14ac:dyDescent="0.25">
      <c r="A46" s="2">
        <v>34</v>
      </c>
      <c r="B46" s="2"/>
      <c r="C46" s="2"/>
    </row>
    <row r="47" spans="1:3" x14ac:dyDescent="0.25">
      <c r="A47" s="2">
        <v>35</v>
      </c>
      <c r="B47" s="2"/>
      <c r="C47" s="2"/>
    </row>
    <row r="48" spans="1:3" x14ac:dyDescent="0.25">
      <c r="A48" s="2">
        <v>36</v>
      </c>
      <c r="B48" s="2"/>
      <c r="C48" s="2"/>
    </row>
    <row r="49" spans="1:3" x14ac:dyDescent="0.25">
      <c r="A49" s="2">
        <v>37</v>
      </c>
      <c r="B49" s="2"/>
      <c r="C49" s="2"/>
    </row>
    <row r="50" spans="1:3" x14ac:dyDescent="0.25">
      <c r="A50" s="2">
        <v>38</v>
      </c>
      <c r="B50" s="2"/>
      <c r="C50" s="2"/>
    </row>
    <row r="51" spans="1:3" x14ac:dyDescent="0.25">
      <c r="A51" s="2">
        <v>39</v>
      </c>
      <c r="B51" s="2"/>
      <c r="C51" s="2"/>
    </row>
    <row r="52" spans="1:3" x14ac:dyDescent="0.25">
      <c r="A52" s="2">
        <v>40</v>
      </c>
      <c r="B52" s="2"/>
      <c r="C52" s="2"/>
    </row>
    <row r="53" spans="1:3" x14ac:dyDescent="0.25">
      <c r="A53" s="2">
        <v>41</v>
      </c>
      <c r="B53" s="2"/>
      <c r="C53" s="2"/>
    </row>
    <row r="54" spans="1:3" x14ac:dyDescent="0.25">
      <c r="A54" s="2">
        <v>42</v>
      </c>
      <c r="B54" s="2"/>
      <c r="C54" s="2"/>
    </row>
    <row r="55" spans="1:3" x14ac:dyDescent="0.25">
      <c r="A55" s="2">
        <v>43</v>
      </c>
      <c r="B55" s="2"/>
      <c r="C55" s="2"/>
    </row>
    <row r="56" spans="1:3" x14ac:dyDescent="0.25">
      <c r="A56" s="2">
        <v>44</v>
      </c>
      <c r="B56" s="2"/>
      <c r="C56" s="2"/>
    </row>
    <row r="57" spans="1:3" x14ac:dyDescent="0.25">
      <c r="A57" s="2">
        <v>45</v>
      </c>
      <c r="B57" s="2"/>
      <c r="C57" s="2"/>
    </row>
    <row r="58" spans="1:3" x14ac:dyDescent="0.25">
      <c r="A58" s="2">
        <v>46</v>
      </c>
      <c r="B58" s="2"/>
      <c r="C58" s="2"/>
    </row>
    <row r="59" spans="1:3" x14ac:dyDescent="0.25">
      <c r="A59" s="2">
        <v>47</v>
      </c>
      <c r="B59" s="2"/>
      <c r="C59" s="2"/>
    </row>
    <row r="60" spans="1:3" x14ac:dyDescent="0.25">
      <c r="A60" s="2">
        <v>48</v>
      </c>
      <c r="B60" s="2"/>
      <c r="C60" s="2"/>
    </row>
    <row r="61" spans="1:3" x14ac:dyDescent="0.25">
      <c r="A61" s="2">
        <v>49</v>
      </c>
      <c r="B61" s="2"/>
      <c r="C61" s="2"/>
    </row>
    <row r="62" spans="1:3" x14ac:dyDescent="0.25">
      <c r="A62" s="2">
        <v>50</v>
      </c>
      <c r="B62" s="2"/>
      <c r="C62" s="2"/>
    </row>
    <row r="63" spans="1:3" x14ac:dyDescent="0.25">
      <c r="A63" s="2">
        <v>51</v>
      </c>
      <c r="B63" s="2"/>
      <c r="C63" s="2"/>
    </row>
    <row r="64" spans="1:3" x14ac:dyDescent="0.25">
      <c r="A64" s="2">
        <v>52</v>
      </c>
      <c r="B64" s="2"/>
      <c r="C64" s="2"/>
    </row>
    <row r="65" spans="1:3" x14ac:dyDescent="0.25">
      <c r="A65" s="2">
        <v>53</v>
      </c>
      <c r="B65" s="2"/>
      <c r="C65" s="2"/>
    </row>
    <row r="66" spans="1:3" x14ac:dyDescent="0.25">
      <c r="A66" s="2">
        <v>54</v>
      </c>
      <c r="B66" s="2"/>
      <c r="C66" s="2"/>
    </row>
    <row r="67" spans="1:3" x14ac:dyDescent="0.25">
      <c r="A67" s="2">
        <v>55</v>
      </c>
      <c r="B67" s="2"/>
      <c r="C67" s="2"/>
    </row>
    <row r="68" spans="1:3" x14ac:dyDescent="0.25">
      <c r="A68" s="2">
        <v>56</v>
      </c>
      <c r="B68" s="2"/>
      <c r="C68" s="2"/>
    </row>
    <row r="69" spans="1:3" x14ac:dyDescent="0.25">
      <c r="A69" s="2">
        <v>57</v>
      </c>
      <c r="B69" s="2"/>
      <c r="C69" s="2"/>
    </row>
    <row r="70" spans="1:3" x14ac:dyDescent="0.25">
      <c r="A70" s="2">
        <v>58</v>
      </c>
      <c r="B70" s="2"/>
      <c r="C70" s="2"/>
    </row>
    <row r="71" spans="1:3" x14ac:dyDescent="0.25">
      <c r="A71" s="2">
        <v>59</v>
      </c>
      <c r="B71" s="2"/>
      <c r="C71" s="2"/>
    </row>
    <row r="72" spans="1:3" x14ac:dyDescent="0.25">
      <c r="A72" s="2">
        <v>60</v>
      </c>
      <c r="B72" s="2"/>
      <c r="C72" s="2"/>
    </row>
    <row r="73" spans="1:3" x14ac:dyDescent="0.25">
      <c r="A73" s="2">
        <v>61</v>
      </c>
      <c r="B73" s="2"/>
      <c r="C73" s="2"/>
    </row>
    <row r="74" spans="1:3" x14ac:dyDescent="0.25">
      <c r="A74" s="2">
        <v>62</v>
      </c>
      <c r="B74" s="2"/>
      <c r="C74" s="2"/>
    </row>
    <row r="75" spans="1:3" x14ac:dyDescent="0.25">
      <c r="A75" s="2">
        <v>63</v>
      </c>
      <c r="B75" s="2"/>
      <c r="C75" s="2"/>
    </row>
    <row r="76" spans="1:3" x14ac:dyDescent="0.25">
      <c r="A76" s="2">
        <v>64</v>
      </c>
      <c r="B76" s="2"/>
      <c r="C76" s="2"/>
    </row>
    <row r="77" spans="1:3" x14ac:dyDescent="0.25">
      <c r="A77" s="2">
        <v>65</v>
      </c>
      <c r="B77" s="2"/>
      <c r="C77" s="2"/>
    </row>
    <row r="78" spans="1:3" x14ac:dyDescent="0.25">
      <c r="A78" s="2">
        <v>66</v>
      </c>
      <c r="B78" s="2"/>
      <c r="C78" s="2"/>
    </row>
    <row r="79" spans="1:3" x14ac:dyDescent="0.25">
      <c r="A79" s="2">
        <v>67</v>
      </c>
      <c r="B79" s="2"/>
      <c r="C79" s="2"/>
    </row>
    <row r="80" spans="1:3" x14ac:dyDescent="0.25">
      <c r="A80" s="2">
        <v>68</v>
      </c>
      <c r="B80" s="2"/>
      <c r="C80" s="2"/>
    </row>
    <row r="81" spans="1:3" x14ac:dyDescent="0.25">
      <c r="A81" s="2">
        <v>69</v>
      </c>
      <c r="B81" s="2"/>
      <c r="C81" s="2"/>
    </row>
    <row r="82" spans="1:3" x14ac:dyDescent="0.25">
      <c r="A82" s="2">
        <v>70</v>
      </c>
      <c r="B82" s="2"/>
      <c r="C82" s="2"/>
    </row>
    <row r="83" spans="1:3" x14ac:dyDescent="0.25">
      <c r="A83" s="2">
        <v>71</v>
      </c>
      <c r="B83" s="2"/>
      <c r="C83" s="2"/>
    </row>
    <row r="84" spans="1:3" x14ac:dyDescent="0.25">
      <c r="A84" s="2">
        <v>72</v>
      </c>
      <c r="B84" s="2"/>
      <c r="C84" s="2"/>
    </row>
    <row r="85" spans="1:3" x14ac:dyDescent="0.25">
      <c r="A85" s="2">
        <v>73</v>
      </c>
      <c r="B85" s="2"/>
      <c r="C85" s="2"/>
    </row>
    <row r="86" spans="1:3" x14ac:dyDescent="0.25">
      <c r="A86" s="2">
        <v>74</v>
      </c>
      <c r="B86" s="2"/>
      <c r="C86" s="2"/>
    </row>
    <row r="87" spans="1:3" x14ac:dyDescent="0.25">
      <c r="A87" s="2">
        <v>75</v>
      </c>
      <c r="B87" s="2"/>
      <c r="C87" s="2"/>
    </row>
    <row r="88" spans="1:3" x14ac:dyDescent="0.25">
      <c r="A88" s="2">
        <v>76</v>
      </c>
      <c r="B88" s="2"/>
      <c r="C88" s="2"/>
    </row>
    <row r="89" spans="1:3" x14ac:dyDescent="0.25">
      <c r="A89" s="2">
        <v>77</v>
      </c>
      <c r="B89" s="2"/>
      <c r="C89" s="2"/>
    </row>
    <row r="90" spans="1:3" x14ac:dyDescent="0.25">
      <c r="A90" s="2">
        <v>78</v>
      </c>
      <c r="B90" s="2"/>
      <c r="C90" s="2"/>
    </row>
    <row r="91" spans="1:3" x14ac:dyDescent="0.25">
      <c r="A91" s="2">
        <v>79</v>
      </c>
      <c r="B91" s="2"/>
      <c r="C91" s="2"/>
    </row>
    <row r="92" spans="1:3" x14ac:dyDescent="0.25">
      <c r="A92" s="2">
        <v>80</v>
      </c>
      <c r="B92" s="2"/>
      <c r="C92" s="2"/>
    </row>
    <row r="93" spans="1:3" x14ac:dyDescent="0.25">
      <c r="A93" s="2">
        <v>81</v>
      </c>
      <c r="B93" s="2"/>
      <c r="C93" s="2"/>
    </row>
    <row r="94" spans="1:3" x14ac:dyDescent="0.25">
      <c r="A94" s="2">
        <v>82</v>
      </c>
      <c r="B94" s="2"/>
      <c r="C94" s="2"/>
    </row>
    <row r="95" spans="1:3" x14ac:dyDescent="0.25">
      <c r="A95" s="2">
        <v>83</v>
      </c>
      <c r="B95" s="2"/>
      <c r="C95" s="2"/>
    </row>
    <row r="96" spans="1:3" x14ac:dyDescent="0.25">
      <c r="A96" s="2">
        <v>84</v>
      </c>
      <c r="B96" s="2"/>
      <c r="C96" s="2"/>
    </row>
    <row r="97" spans="1:3" x14ac:dyDescent="0.25">
      <c r="A97" s="2">
        <v>85</v>
      </c>
      <c r="B97" s="2"/>
      <c r="C97" s="2"/>
    </row>
    <row r="98" spans="1:3" x14ac:dyDescent="0.25">
      <c r="A98" s="2">
        <v>86</v>
      </c>
      <c r="B98" s="2"/>
      <c r="C98" s="2"/>
    </row>
    <row r="99" spans="1:3" x14ac:dyDescent="0.25">
      <c r="A99" s="2">
        <v>87</v>
      </c>
      <c r="B99" s="2"/>
      <c r="C99" s="2"/>
    </row>
    <row r="100" spans="1:3" x14ac:dyDescent="0.25">
      <c r="A100" s="2">
        <v>88</v>
      </c>
      <c r="B100" s="2"/>
      <c r="C100" s="2"/>
    </row>
    <row r="101" spans="1:3" x14ac:dyDescent="0.25">
      <c r="A101" s="2">
        <v>89</v>
      </c>
      <c r="B101" s="2"/>
      <c r="C101" s="2"/>
    </row>
    <row r="102" spans="1:3" x14ac:dyDescent="0.25">
      <c r="A102" s="2">
        <v>90</v>
      </c>
      <c r="B102" s="2"/>
      <c r="C102" s="2"/>
    </row>
    <row r="103" spans="1:3" x14ac:dyDescent="0.25">
      <c r="A103" s="2">
        <v>91</v>
      </c>
      <c r="B103" s="2"/>
      <c r="C103" s="2"/>
    </row>
    <row r="104" spans="1:3" x14ac:dyDescent="0.25">
      <c r="A104" s="2">
        <v>92</v>
      </c>
      <c r="B104" s="2"/>
      <c r="C104" s="2"/>
    </row>
    <row r="105" spans="1:3" x14ac:dyDescent="0.25">
      <c r="A105" s="2">
        <v>93</v>
      </c>
      <c r="B105" s="2"/>
      <c r="C105" s="2"/>
    </row>
    <row r="106" spans="1:3" x14ac:dyDescent="0.25">
      <c r="A106" s="2">
        <v>94</v>
      </c>
      <c r="B106" s="2"/>
      <c r="C106" s="2"/>
    </row>
    <row r="107" spans="1:3" x14ac:dyDescent="0.25">
      <c r="A107" s="2">
        <v>95</v>
      </c>
      <c r="B107" s="2"/>
      <c r="C107" s="2"/>
    </row>
    <row r="108" spans="1:3" x14ac:dyDescent="0.25">
      <c r="A108" s="2">
        <v>96</v>
      </c>
      <c r="B108" s="2"/>
      <c r="C108" s="2"/>
    </row>
    <row r="109" spans="1:3" x14ac:dyDescent="0.25">
      <c r="A109" s="2">
        <v>97</v>
      </c>
      <c r="B109" s="2"/>
      <c r="C109" s="2"/>
    </row>
    <row r="110" spans="1:3" x14ac:dyDescent="0.25">
      <c r="A110" s="2">
        <v>98</v>
      </c>
      <c r="B110" s="2"/>
      <c r="C110" s="2"/>
    </row>
    <row r="111" spans="1:3" x14ac:dyDescent="0.25">
      <c r="A111" s="2">
        <v>99</v>
      </c>
      <c r="B111" s="2"/>
      <c r="C111" s="2"/>
    </row>
    <row r="112" spans="1:3" x14ac:dyDescent="0.25">
      <c r="A112" s="2">
        <v>100</v>
      </c>
      <c r="B112" s="2"/>
      <c r="C112" s="2"/>
    </row>
    <row r="113" spans="1:3" x14ac:dyDescent="0.25">
      <c r="A113" s="2">
        <v>101</v>
      </c>
      <c r="B113" s="2"/>
      <c r="C113" s="2"/>
    </row>
    <row r="114" spans="1:3" x14ac:dyDescent="0.25">
      <c r="A114" s="2">
        <v>102</v>
      </c>
      <c r="B114" s="2"/>
      <c r="C114" s="2"/>
    </row>
    <row r="115" spans="1:3" x14ac:dyDescent="0.25">
      <c r="A115" s="2">
        <v>103</v>
      </c>
      <c r="B115" s="2"/>
      <c r="C115" s="2"/>
    </row>
    <row r="116" spans="1:3" x14ac:dyDescent="0.25">
      <c r="A116" s="2">
        <v>104</v>
      </c>
      <c r="B116" s="2"/>
      <c r="C116" s="2"/>
    </row>
    <row r="117" spans="1:3" x14ac:dyDescent="0.25">
      <c r="A117" s="2">
        <v>105</v>
      </c>
      <c r="B117" s="2"/>
      <c r="C117" s="2"/>
    </row>
    <row r="118" spans="1:3" x14ac:dyDescent="0.25">
      <c r="A118" s="2">
        <v>106</v>
      </c>
      <c r="B118" s="2"/>
      <c r="C118" s="2"/>
    </row>
    <row r="119" spans="1:3" x14ac:dyDescent="0.25">
      <c r="A119" s="2">
        <v>107</v>
      </c>
      <c r="B119" s="2"/>
      <c r="C119" s="2"/>
    </row>
    <row r="120" spans="1:3" x14ac:dyDescent="0.25">
      <c r="A120" s="2">
        <v>108</v>
      </c>
      <c r="B120" s="2"/>
      <c r="C120" s="2"/>
    </row>
    <row r="121" spans="1:3" x14ac:dyDescent="0.25">
      <c r="A121" s="2">
        <v>109</v>
      </c>
      <c r="B121" s="2"/>
      <c r="C121" s="2"/>
    </row>
    <row r="122" spans="1:3" x14ac:dyDescent="0.25">
      <c r="A122" s="2">
        <v>110</v>
      </c>
      <c r="B122" s="2"/>
      <c r="C122" s="2"/>
    </row>
    <row r="123" spans="1:3" x14ac:dyDescent="0.25">
      <c r="A123" s="2">
        <v>111</v>
      </c>
      <c r="B123" s="2"/>
      <c r="C123" s="2"/>
    </row>
    <row r="124" spans="1:3" x14ac:dyDescent="0.25">
      <c r="A124" s="2">
        <v>112</v>
      </c>
      <c r="B124" s="2"/>
      <c r="C124" s="2"/>
    </row>
    <row r="125" spans="1:3" x14ac:dyDescent="0.25">
      <c r="A125" s="2">
        <v>113</v>
      </c>
      <c r="B125" s="2"/>
      <c r="C125" s="2"/>
    </row>
    <row r="126" spans="1:3" x14ac:dyDescent="0.25">
      <c r="A126" s="2">
        <v>114</v>
      </c>
      <c r="B126" s="2"/>
      <c r="C126" s="2"/>
    </row>
    <row r="127" spans="1:3" x14ac:dyDescent="0.25">
      <c r="A127" s="2">
        <v>115</v>
      </c>
      <c r="B127" s="2"/>
      <c r="C127" s="2"/>
    </row>
    <row r="128" spans="1:3" x14ac:dyDescent="0.25">
      <c r="A128" s="2">
        <v>116</v>
      </c>
      <c r="B128" s="2"/>
      <c r="C128" s="2"/>
    </row>
    <row r="129" spans="1:3" x14ac:dyDescent="0.25">
      <c r="A129" s="2">
        <v>117</v>
      </c>
      <c r="B129" s="2"/>
      <c r="C129" s="2"/>
    </row>
    <row r="130" spans="1:3" x14ac:dyDescent="0.25">
      <c r="A130" s="2">
        <v>118</v>
      </c>
      <c r="B130" s="2"/>
      <c r="C130" s="2"/>
    </row>
    <row r="131" spans="1:3" x14ac:dyDescent="0.25">
      <c r="A131" s="2">
        <v>119</v>
      </c>
      <c r="B131" s="2"/>
      <c r="C131" s="2"/>
    </row>
    <row r="133" spans="1:3" x14ac:dyDescent="0.25">
      <c r="A133" s="2" t="s">
        <v>34</v>
      </c>
      <c r="B133" s="2" t="e">
        <f>AVERAGE(B12:B42,B101:B131)+profile_1_baseline_offset_</f>
        <v>#DIV/0!</v>
      </c>
      <c r="C133" s="2" t="e">
        <f>AVERAGE(C12:C42,C101:C131)+profile_2_baseline_offset_</f>
        <v>#DIV/0!</v>
      </c>
    </row>
    <row r="134" spans="1:3" x14ac:dyDescent="0.25">
      <c r="A134" s="2" t="s">
        <v>33</v>
      </c>
      <c r="B134" s="2">
        <f>MIN(B12:B131)+_xlfn.SINGLE(profile_1_min_offset_)</f>
        <v>25</v>
      </c>
      <c r="C134" s="2">
        <f>MIN(C12:C131)+_xlfn.SINGLE(profile_2_min_offset_)</f>
        <v>25</v>
      </c>
    </row>
    <row r="135" spans="1:3" x14ac:dyDescent="0.25">
      <c r="A135" s="2" t="s">
        <v>36</v>
      </c>
      <c r="B135" s="2" t="e">
        <f>B134+(B133-B134)/2</f>
        <v>#DIV/0!</v>
      </c>
      <c r="C135" s="2" t="e">
        <f>C134+(C133-C134)/2</f>
        <v>#DIV/0!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8191-38F2-5A4D-920E-6551B37513FC}">
  <dimension ref="A1:N135"/>
  <sheetViews>
    <sheetView workbookViewId="0">
      <selection activeCell="B12" sqref="B12:C131"/>
    </sheetView>
  </sheetViews>
  <sheetFormatPr defaultColWidth="8.85546875" defaultRowHeight="15" x14ac:dyDescent="0.25"/>
  <cols>
    <col min="1" max="1" width="35.42578125" bestFit="1" customWidth="1"/>
    <col min="2" max="3" width="18.42578125" bestFit="1" customWidth="1"/>
    <col min="4" max="5" width="15.28515625" bestFit="1" customWidth="1"/>
    <col min="6" max="7" width="15.7109375" bestFit="1" customWidth="1"/>
  </cols>
  <sheetData>
    <row r="1" spans="1:14" x14ac:dyDescent="0.25">
      <c r="A1" s="5" t="s">
        <v>37</v>
      </c>
      <c r="B1" s="5" t="s">
        <v>4</v>
      </c>
    </row>
    <row r="2" spans="1:14" x14ac:dyDescent="0.25">
      <c r="A2" s="6" t="s">
        <v>123</v>
      </c>
      <c r="B2" s="2">
        <v>10</v>
      </c>
    </row>
    <row r="3" spans="1:14" x14ac:dyDescent="0.25">
      <c r="A3" s="6" t="s">
        <v>122</v>
      </c>
      <c r="B3" s="2">
        <v>30</v>
      </c>
    </row>
    <row r="4" spans="1:14" x14ac:dyDescent="0.25">
      <c r="A4" s="6" t="s">
        <v>124</v>
      </c>
      <c r="B4" s="2">
        <v>30</v>
      </c>
    </row>
    <row r="5" spans="1:14" x14ac:dyDescent="0.25">
      <c r="A5" s="6" t="s">
        <v>125</v>
      </c>
      <c r="B5" s="2">
        <v>10</v>
      </c>
    </row>
    <row r="7" spans="1:14" x14ac:dyDescent="0.25">
      <c r="A7" s="5" t="s">
        <v>12</v>
      </c>
      <c r="B7" s="5" t="s">
        <v>4</v>
      </c>
    </row>
    <row r="8" spans="1:14" x14ac:dyDescent="0.25">
      <c r="A8" s="2" t="s">
        <v>126</v>
      </c>
      <c r="B8" s="2">
        <f>COUNTIF(B12:B131, "&lt;"&amp;B135)</f>
        <v>0</v>
      </c>
    </row>
    <row r="9" spans="1:14" x14ac:dyDescent="0.25">
      <c r="A9" s="2" t="s">
        <v>127</v>
      </c>
      <c r="B9" s="2">
        <f>COUNTIF(C12:C131, "&lt;"&amp;C135)</f>
        <v>0</v>
      </c>
      <c r="N9" t="s">
        <v>159</v>
      </c>
    </row>
    <row r="11" spans="1:14" x14ac:dyDescent="0.25">
      <c r="A11" s="1" t="s">
        <v>35</v>
      </c>
      <c r="B11" s="1" t="s">
        <v>99</v>
      </c>
      <c r="C11" s="1" t="s">
        <v>100</v>
      </c>
    </row>
    <row r="12" spans="1:14" x14ac:dyDescent="0.25">
      <c r="A12" s="2">
        <v>0</v>
      </c>
      <c r="B12" s="2"/>
      <c r="C12" s="2"/>
    </row>
    <row r="13" spans="1:14" x14ac:dyDescent="0.25">
      <c r="A13" s="2">
        <v>1</v>
      </c>
      <c r="B13" s="2"/>
      <c r="C13" s="2"/>
    </row>
    <row r="14" spans="1:14" x14ac:dyDescent="0.25">
      <c r="A14" s="2">
        <v>2</v>
      </c>
      <c r="B14" s="2"/>
      <c r="C14" s="2"/>
    </row>
    <row r="15" spans="1:14" x14ac:dyDescent="0.25">
      <c r="A15" s="2">
        <v>3</v>
      </c>
      <c r="B15" s="2"/>
      <c r="C15" s="2"/>
    </row>
    <row r="16" spans="1:14" x14ac:dyDescent="0.25">
      <c r="A16" s="2">
        <v>4</v>
      </c>
      <c r="B16" s="2"/>
      <c r="C16" s="2"/>
    </row>
    <row r="17" spans="1:3" x14ac:dyDescent="0.25">
      <c r="A17" s="2">
        <v>5</v>
      </c>
      <c r="B17" s="2"/>
      <c r="C17" s="2"/>
    </row>
    <row r="18" spans="1:3" x14ac:dyDescent="0.25">
      <c r="A18" s="2">
        <v>6</v>
      </c>
      <c r="B18" s="2"/>
      <c r="C18" s="2"/>
    </row>
    <row r="19" spans="1:3" x14ac:dyDescent="0.25">
      <c r="A19" s="2">
        <v>7</v>
      </c>
      <c r="B19" s="2"/>
      <c r="C19" s="2"/>
    </row>
    <row r="20" spans="1:3" x14ac:dyDescent="0.25">
      <c r="A20" s="2">
        <v>8</v>
      </c>
      <c r="B20" s="2"/>
      <c r="C20" s="2"/>
    </row>
    <row r="21" spans="1:3" x14ac:dyDescent="0.25">
      <c r="A21" s="2">
        <v>9</v>
      </c>
      <c r="B21" s="2"/>
      <c r="C21" s="2"/>
    </row>
    <row r="22" spans="1:3" x14ac:dyDescent="0.25">
      <c r="A22" s="2">
        <v>10</v>
      </c>
      <c r="B22" s="2"/>
      <c r="C22" s="2"/>
    </row>
    <row r="23" spans="1:3" x14ac:dyDescent="0.25">
      <c r="A23" s="2">
        <v>11</v>
      </c>
      <c r="B23" s="2"/>
      <c r="C23" s="2"/>
    </row>
    <row r="24" spans="1:3" x14ac:dyDescent="0.25">
      <c r="A24" s="2">
        <v>12</v>
      </c>
      <c r="B24" s="2"/>
      <c r="C24" s="2"/>
    </row>
    <row r="25" spans="1:3" x14ac:dyDescent="0.25">
      <c r="A25" s="2">
        <v>13</v>
      </c>
      <c r="B25" s="2"/>
      <c r="C25" s="2"/>
    </row>
    <row r="26" spans="1:3" x14ac:dyDescent="0.25">
      <c r="A26" s="2">
        <v>14</v>
      </c>
      <c r="B26" s="2"/>
      <c r="C26" s="2"/>
    </row>
    <row r="27" spans="1:3" x14ac:dyDescent="0.25">
      <c r="A27" s="2">
        <v>15</v>
      </c>
      <c r="B27" s="2"/>
      <c r="C27" s="2"/>
    </row>
    <row r="28" spans="1:3" x14ac:dyDescent="0.25">
      <c r="A28" s="2">
        <v>16</v>
      </c>
      <c r="B28" s="2"/>
      <c r="C28" s="2"/>
    </row>
    <row r="29" spans="1:3" x14ac:dyDescent="0.25">
      <c r="A29" s="2">
        <v>17</v>
      </c>
      <c r="B29" s="2"/>
      <c r="C29" s="2"/>
    </row>
    <row r="30" spans="1:3" x14ac:dyDescent="0.25">
      <c r="A30" s="2">
        <v>18</v>
      </c>
      <c r="B30" s="2"/>
      <c r="C30" s="2"/>
    </row>
    <row r="31" spans="1:3" x14ac:dyDescent="0.25">
      <c r="A31" s="2">
        <v>19</v>
      </c>
      <c r="B31" s="2"/>
      <c r="C31" s="2"/>
    </row>
    <row r="32" spans="1:3" x14ac:dyDescent="0.25">
      <c r="A32" s="2">
        <v>20</v>
      </c>
      <c r="B32" s="2"/>
      <c r="C32" s="2"/>
    </row>
    <row r="33" spans="1:3" x14ac:dyDescent="0.25">
      <c r="A33" s="2">
        <v>21</v>
      </c>
      <c r="B33" s="2"/>
      <c r="C33" s="2"/>
    </row>
    <row r="34" spans="1:3" x14ac:dyDescent="0.25">
      <c r="A34" s="2">
        <v>22</v>
      </c>
      <c r="B34" s="2"/>
      <c r="C34" s="2"/>
    </row>
    <row r="35" spans="1:3" x14ac:dyDescent="0.25">
      <c r="A35" s="2">
        <v>23</v>
      </c>
      <c r="B35" s="2"/>
      <c r="C35" s="2"/>
    </row>
    <row r="36" spans="1:3" x14ac:dyDescent="0.25">
      <c r="A36" s="2">
        <v>24</v>
      </c>
      <c r="B36" s="2"/>
      <c r="C36" s="2"/>
    </row>
    <row r="37" spans="1:3" x14ac:dyDescent="0.25">
      <c r="A37" s="2">
        <v>25</v>
      </c>
      <c r="B37" s="2"/>
      <c r="C37" s="2"/>
    </row>
    <row r="38" spans="1:3" x14ac:dyDescent="0.25">
      <c r="A38" s="2">
        <v>26</v>
      </c>
      <c r="B38" s="2"/>
      <c r="C38" s="2"/>
    </row>
    <row r="39" spans="1:3" x14ac:dyDescent="0.25">
      <c r="A39" s="2">
        <v>27</v>
      </c>
      <c r="B39" s="2"/>
      <c r="C39" s="2"/>
    </row>
    <row r="40" spans="1:3" x14ac:dyDescent="0.25">
      <c r="A40" s="2">
        <v>28</v>
      </c>
      <c r="B40" s="2"/>
      <c r="C40" s="2"/>
    </row>
    <row r="41" spans="1:3" x14ac:dyDescent="0.25">
      <c r="A41" s="2">
        <v>29</v>
      </c>
      <c r="B41" s="2"/>
      <c r="C41" s="2"/>
    </row>
    <row r="42" spans="1:3" x14ac:dyDescent="0.25">
      <c r="A42" s="2">
        <v>30</v>
      </c>
      <c r="B42" s="2"/>
      <c r="C42" s="2"/>
    </row>
    <row r="43" spans="1:3" x14ac:dyDescent="0.25">
      <c r="A43" s="2">
        <v>31</v>
      </c>
      <c r="B43" s="2"/>
      <c r="C43" s="2"/>
    </row>
    <row r="44" spans="1:3" x14ac:dyDescent="0.25">
      <c r="A44" s="2">
        <v>32</v>
      </c>
      <c r="B44" s="2"/>
      <c r="C44" s="2"/>
    </row>
    <row r="45" spans="1:3" x14ac:dyDescent="0.25">
      <c r="A45" s="2">
        <v>33</v>
      </c>
      <c r="B45" s="2"/>
      <c r="C45" s="2"/>
    </row>
    <row r="46" spans="1:3" x14ac:dyDescent="0.25">
      <c r="A46" s="2">
        <v>34</v>
      </c>
      <c r="B46" s="2"/>
      <c r="C46" s="2"/>
    </row>
    <row r="47" spans="1:3" x14ac:dyDescent="0.25">
      <c r="A47" s="2">
        <v>35</v>
      </c>
      <c r="B47" s="2"/>
      <c r="C47" s="2"/>
    </row>
    <row r="48" spans="1:3" x14ac:dyDescent="0.25">
      <c r="A48" s="2">
        <v>36</v>
      </c>
      <c r="B48" s="2"/>
      <c r="C48" s="2"/>
    </row>
    <row r="49" spans="1:3" x14ac:dyDescent="0.25">
      <c r="A49" s="2">
        <v>37</v>
      </c>
      <c r="B49" s="2"/>
      <c r="C49" s="2"/>
    </row>
    <row r="50" spans="1:3" x14ac:dyDescent="0.25">
      <c r="A50" s="2">
        <v>38</v>
      </c>
      <c r="B50" s="2"/>
      <c r="C50" s="2"/>
    </row>
    <row r="51" spans="1:3" x14ac:dyDescent="0.25">
      <c r="A51" s="2">
        <v>39</v>
      </c>
      <c r="B51" s="2"/>
      <c r="C51" s="2"/>
    </row>
    <row r="52" spans="1:3" x14ac:dyDescent="0.25">
      <c r="A52" s="2">
        <v>40</v>
      </c>
      <c r="B52" s="2"/>
      <c r="C52" s="2"/>
    </row>
    <row r="53" spans="1:3" x14ac:dyDescent="0.25">
      <c r="A53" s="2">
        <v>41</v>
      </c>
      <c r="B53" s="2"/>
      <c r="C53" s="2"/>
    </row>
    <row r="54" spans="1:3" x14ac:dyDescent="0.25">
      <c r="A54" s="2">
        <v>42</v>
      </c>
      <c r="B54" s="2"/>
      <c r="C54" s="2"/>
    </row>
    <row r="55" spans="1:3" x14ac:dyDescent="0.25">
      <c r="A55" s="2">
        <v>43</v>
      </c>
      <c r="B55" s="2"/>
      <c r="C55" s="2"/>
    </row>
    <row r="56" spans="1:3" x14ac:dyDescent="0.25">
      <c r="A56" s="2">
        <v>44</v>
      </c>
      <c r="B56" s="2"/>
      <c r="C56" s="2"/>
    </row>
    <row r="57" spans="1:3" x14ac:dyDescent="0.25">
      <c r="A57" s="2">
        <v>45</v>
      </c>
      <c r="B57" s="2"/>
      <c r="C57" s="2"/>
    </row>
    <row r="58" spans="1:3" x14ac:dyDescent="0.25">
      <c r="A58" s="2">
        <v>46</v>
      </c>
      <c r="B58" s="2"/>
      <c r="C58" s="2"/>
    </row>
    <row r="59" spans="1:3" x14ac:dyDescent="0.25">
      <c r="A59" s="2">
        <v>47</v>
      </c>
      <c r="B59" s="2"/>
      <c r="C59" s="2"/>
    </row>
    <row r="60" spans="1:3" x14ac:dyDescent="0.25">
      <c r="A60" s="2">
        <v>48</v>
      </c>
      <c r="B60" s="2"/>
      <c r="C60" s="2"/>
    </row>
    <row r="61" spans="1:3" x14ac:dyDescent="0.25">
      <c r="A61" s="2">
        <v>49</v>
      </c>
      <c r="B61" s="2"/>
      <c r="C61" s="2"/>
    </row>
    <row r="62" spans="1:3" x14ac:dyDescent="0.25">
      <c r="A62" s="2">
        <v>50</v>
      </c>
      <c r="B62" s="2"/>
      <c r="C62" s="2"/>
    </row>
    <row r="63" spans="1:3" x14ac:dyDescent="0.25">
      <c r="A63" s="2">
        <v>51</v>
      </c>
      <c r="B63" s="2"/>
      <c r="C63" s="2"/>
    </row>
    <row r="64" spans="1:3" x14ac:dyDescent="0.25">
      <c r="A64" s="2">
        <v>52</v>
      </c>
      <c r="B64" s="2"/>
      <c r="C64" s="2"/>
    </row>
    <row r="65" spans="1:3" x14ac:dyDescent="0.25">
      <c r="A65" s="2">
        <v>53</v>
      </c>
      <c r="B65" s="2"/>
      <c r="C65" s="2"/>
    </row>
    <row r="66" spans="1:3" x14ac:dyDescent="0.25">
      <c r="A66" s="2">
        <v>54</v>
      </c>
      <c r="B66" s="2"/>
      <c r="C66" s="2"/>
    </row>
    <row r="67" spans="1:3" x14ac:dyDescent="0.25">
      <c r="A67" s="2">
        <v>55</v>
      </c>
      <c r="B67" s="2"/>
      <c r="C67" s="2"/>
    </row>
    <row r="68" spans="1:3" x14ac:dyDescent="0.25">
      <c r="A68" s="2">
        <v>56</v>
      </c>
      <c r="B68" s="2"/>
      <c r="C68" s="2"/>
    </row>
    <row r="69" spans="1:3" x14ac:dyDescent="0.25">
      <c r="A69" s="2">
        <v>57</v>
      </c>
      <c r="B69" s="2"/>
      <c r="C69" s="2"/>
    </row>
    <row r="70" spans="1:3" x14ac:dyDescent="0.25">
      <c r="A70" s="2">
        <v>58</v>
      </c>
      <c r="B70" s="2"/>
      <c r="C70" s="2"/>
    </row>
    <row r="71" spans="1:3" x14ac:dyDescent="0.25">
      <c r="A71" s="2">
        <v>59</v>
      </c>
      <c r="B71" s="2"/>
      <c r="C71" s="2"/>
    </row>
    <row r="72" spans="1:3" x14ac:dyDescent="0.25">
      <c r="A72" s="2">
        <v>60</v>
      </c>
      <c r="B72" s="2"/>
      <c r="C72" s="2"/>
    </row>
    <row r="73" spans="1:3" x14ac:dyDescent="0.25">
      <c r="A73" s="2">
        <v>61</v>
      </c>
      <c r="B73" s="2"/>
      <c r="C73" s="2"/>
    </row>
    <row r="74" spans="1:3" x14ac:dyDescent="0.25">
      <c r="A74" s="2">
        <v>62</v>
      </c>
      <c r="B74" s="2"/>
      <c r="C74" s="2"/>
    </row>
    <row r="75" spans="1:3" x14ac:dyDescent="0.25">
      <c r="A75" s="2">
        <v>63</v>
      </c>
      <c r="B75" s="2"/>
      <c r="C75" s="2"/>
    </row>
    <row r="76" spans="1:3" x14ac:dyDescent="0.25">
      <c r="A76" s="2">
        <v>64</v>
      </c>
      <c r="B76" s="2"/>
      <c r="C76" s="2"/>
    </row>
    <row r="77" spans="1:3" x14ac:dyDescent="0.25">
      <c r="A77" s="2">
        <v>65</v>
      </c>
      <c r="B77" s="2"/>
      <c r="C77" s="2"/>
    </row>
    <row r="78" spans="1:3" x14ac:dyDescent="0.25">
      <c r="A78" s="2">
        <v>66</v>
      </c>
      <c r="B78" s="2"/>
      <c r="C78" s="2"/>
    </row>
    <row r="79" spans="1:3" x14ac:dyDescent="0.25">
      <c r="A79" s="2">
        <v>67</v>
      </c>
      <c r="B79" s="2"/>
      <c r="C79" s="2"/>
    </row>
    <row r="80" spans="1:3" x14ac:dyDescent="0.25">
      <c r="A80" s="2">
        <v>68</v>
      </c>
      <c r="B80" s="2"/>
      <c r="C80" s="2"/>
    </row>
    <row r="81" spans="1:3" x14ac:dyDescent="0.25">
      <c r="A81" s="2">
        <v>69</v>
      </c>
      <c r="B81" s="2"/>
      <c r="C81" s="2"/>
    </row>
    <row r="82" spans="1:3" x14ac:dyDescent="0.25">
      <c r="A82" s="2">
        <v>70</v>
      </c>
      <c r="B82" s="2"/>
      <c r="C82" s="2"/>
    </row>
    <row r="83" spans="1:3" x14ac:dyDescent="0.25">
      <c r="A83" s="2">
        <v>71</v>
      </c>
      <c r="B83" s="2"/>
      <c r="C83" s="2"/>
    </row>
    <row r="84" spans="1:3" x14ac:dyDescent="0.25">
      <c r="A84" s="2">
        <v>72</v>
      </c>
      <c r="B84" s="2"/>
      <c r="C84" s="2"/>
    </row>
    <row r="85" spans="1:3" x14ac:dyDescent="0.25">
      <c r="A85" s="2">
        <v>73</v>
      </c>
      <c r="B85" s="2"/>
      <c r="C85" s="2"/>
    </row>
    <row r="86" spans="1:3" x14ac:dyDescent="0.25">
      <c r="A86" s="2">
        <v>74</v>
      </c>
      <c r="B86" s="2"/>
      <c r="C86" s="2"/>
    </row>
    <row r="87" spans="1:3" x14ac:dyDescent="0.25">
      <c r="A87" s="2">
        <v>75</v>
      </c>
      <c r="B87" s="2"/>
      <c r="C87" s="2"/>
    </row>
    <row r="88" spans="1:3" x14ac:dyDescent="0.25">
      <c r="A88" s="2">
        <v>76</v>
      </c>
      <c r="B88" s="2"/>
      <c r="C88" s="2"/>
    </row>
    <row r="89" spans="1:3" x14ac:dyDescent="0.25">
      <c r="A89" s="2">
        <v>77</v>
      </c>
      <c r="B89" s="2"/>
      <c r="C89" s="2"/>
    </row>
    <row r="90" spans="1:3" x14ac:dyDescent="0.25">
      <c r="A90" s="2">
        <v>78</v>
      </c>
      <c r="B90" s="2"/>
      <c r="C90" s="2"/>
    </row>
    <row r="91" spans="1:3" x14ac:dyDescent="0.25">
      <c r="A91" s="2">
        <v>79</v>
      </c>
      <c r="B91" s="2"/>
      <c r="C91" s="2"/>
    </row>
    <row r="92" spans="1:3" x14ac:dyDescent="0.25">
      <c r="A92" s="2">
        <v>80</v>
      </c>
      <c r="B92" s="2"/>
      <c r="C92" s="2"/>
    </row>
    <row r="93" spans="1:3" x14ac:dyDescent="0.25">
      <c r="A93" s="2">
        <v>81</v>
      </c>
      <c r="B93" s="2"/>
      <c r="C93" s="2"/>
    </row>
    <row r="94" spans="1:3" x14ac:dyDescent="0.25">
      <c r="A94" s="2">
        <v>82</v>
      </c>
      <c r="B94" s="2"/>
      <c r="C94" s="2"/>
    </row>
    <row r="95" spans="1:3" x14ac:dyDescent="0.25">
      <c r="A95" s="2">
        <v>83</v>
      </c>
      <c r="B95" s="2"/>
      <c r="C95" s="2"/>
    </row>
    <row r="96" spans="1:3" x14ac:dyDescent="0.25">
      <c r="A96" s="2">
        <v>84</v>
      </c>
      <c r="B96" s="2"/>
      <c r="C96" s="2"/>
    </row>
    <row r="97" spans="1:3" x14ac:dyDescent="0.25">
      <c r="A97" s="2">
        <v>85</v>
      </c>
      <c r="B97" s="2"/>
      <c r="C97" s="2"/>
    </row>
    <row r="98" spans="1:3" x14ac:dyDescent="0.25">
      <c r="A98" s="2">
        <v>86</v>
      </c>
      <c r="B98" s="2"/>
      <c r="C98" s="2"/>
    </row>
    <row r="99" spans="1:3" x14ac:dyDescent="0.25">
      <c r="A99" s="2">
        <v>87</v>
      </c>
      <c r="B99" s="2"/>
      <c r="C99" s="2"/>
    </row>
    <row r="100" spans="1:3" x14ac:dyDescent="0.25">
      <c r="A100" s="2">
        <v>88</v>
      </c>
      <c r="B100" s="2"/>
      <c r="C100" s="2"/>
    </row>
    <row r="101" spans="1:3" x14ac:dyDescent="0.25">
      <c r="A101" s="2">
        <v>89</v>
      </c>
      <c r="B101" s="2"/>
      <c r="C101" s="2"/>
    </row>
    <row r="102" spans="1:3" x14ac:dyDescent="0.25">
      <c r="A102" s="2">
        <v>90</v>
      </c>
      <c r="B102" s="2"/>
      <c r="C102" s="2"/>
    </row>
    <row r="103" spans="1:3" x14ac:dyDescent="0.25">
      <c r="A103" s="2">
        <v>91</v>
      </c>
      <c r="B103" s="2"/>
      <c r="C103" s="2"/>
    </row>
    <row r="104" spans="1:3" x14ac:dyDescent="0.25">
      <c r="A104" s="2">
        <v>92</v>
      </c>
      <c r="B104" s="2"/>
      <c r="C104" s="2"/>
    </row>
    <row r="105" spans="1:3" x14ac:dyDescent="0.25">
      <c r="A105" s="2">
        <v>93</v>
      </c>
      <c r="B105" s="2"/>
      <c r="C105" s="2"/>
    </row>
    <row r="106" spans="1:3" x14ac:dyDescent="0.25">
      <c r="A106" s="2">
        <v>94</v>
      </c>
      <c r="B106" s="2"/>
      <c r="C106" s="2"/>
    </row>
    <row r="107" spans="1:3" x14ac:dyDescent="0.25">
      <c r="A107" s="2">
        <v>95</v>
      </c>
      <c r="B107" s="2"/>
      <c r="C107" s="2"/>
    </row>
    <row r="108" spans="1:3" x14ac:dyDescent="0.25">
      <c r="A108" s="2">
        <v>96</v>
      </c>
      <c r="B108" s="2"/>
      <c r="C108" s="2"/>
    </row>
    <row r="109" spans="1:3" x14ac:dyDescent="0.25">
      <c r="A109" s="2">
        <v>97</v>
      </c>
      <c r="B109" s="2"/>
      <c r="C109" s="2"/>
    </row>
    <row r="110" spans="1:3" x14ac:dyDescent="0.25">
      <c r="A110" s="2">
        <v>98</v>
      </c>
      <c r="B110" s="2"/>
      <c r="C110" s="2"/>
    </row>
    <row r="111" spans="1:3" x14ac:dyDescent="0.25">
      <c r="A111" s="2">
        <v>99</v>
      </c>
      <c r="B111" s="2"/>
      <c r="C111" s="2"/>
    </row>
    <row r="112" spans="1:3" x14ac:dyDescent="0.25">
      <c r="A112" s="2">
        <v>100</v>
      </c>
      <c r="B112" s="2"/>
      <c r="C112" s="2"/>
    </row>
    <row r="113" spans="1:3" x14ac:dyDescent="0.25">
      <c r="A113" s="2">
        <v>101</v>
      </c>
      <c r="B113" s="2"/>
      <c r="C113" s="2"/>
    </row>
    <row r="114" spans="1:3" x14ac:dyDescent="0.25">
      <c r="A114" s="2">
        <v>102</v>
      </c>
      <c r="B114" s="2"/>
      <c r="C114" s="2"/>
    </row>
    <row r="115" spans="1:3" x14ac:dyDescent="0.25">
      <c r="A115" s="2">
        <v>103</v>
      </c>
      <c r="B115" s="2"/>
      <c r="C115" s="2"/>
    </row>
    <row r="116" spans="1:3" x14ac:dyDescent="0.25">
      <c r="A116" s="2">
        <v>104</v>
      </c>
      <c r="B116" s="2"/>
      <c r="C116" s="2"/>
    </row>
    <row r="117" spans="1:3" x14ac:dyDescent="0.25">
      <c r="A117" s="2">
        <v>105</v>
      </c>
      <c r="B117" s="2"/>
      <c r="C117" s="2"/>
    </row>
    <row r="118" spans="1:3" x14ac:dyDescent="0.25">
      <c r="A118" s="2">
        <v>106</v>
      </c>
      <c r="B118" s="2"/>
      <c r="C118" s="2"/>
    </row>
    <row r="119" spans="1:3" x14ac:dyDescent="0.25">
      <c r="A119" s="2">
        <v>107</v>
      </c>
      <c r="B119" s="2"/>
      <c r="C119" s="2"/>
    </row>
    <row r="120" spans="1:3" x14ac:dyDescent="0.25">
      <c r="A120" s="2">
        <v>108</v>
      </c>
      <c r="B120" s="2"/>
      <c r="C120" s="2"/>
    </row>
    <row r="121" spans="1:3" x14ac:dyDescent="0.25">
      <c r="A121" s="2">
        <v>109</v>
      </c>
      <c r="B121" s="2"/>
      <c r="C121" s="2"/>
    </row>
    <row r="122" spans="1:3" x14ac:dyDescent="0.25">
      <c r="A122" s="2">
        <v>110</v>
      </c>
      <c r="B122" s="2"/>
      <c r="C122" s="2"/>
    </row>
    <row r="123" spans="1:3" x14ac:dyDescent="0.25">
      <c r="A123" s="2">
        <v>111</v>
      </c>
      <c r="B123" s="2"/>
      <c r="C123" s="2"/>
    </row>
    <row r="124" spans="1:3" x14ac:dyDescent="0.25">
      <c r="A124" s="2">
        <v>112</v>
      </c>
      <c r="B124" s="2"/>
      <c r="C124" s="2"/>
    </row>
    <row r="125" spans="1:3" x14ac:dyDescent="0.25">
      <c r="A125" s="2">
        <v>113</v>
      </c>
      <c r="B125" s="2"/>
      <c r="C125" s="2"/>
    </row>
    <row r="126" spans="1:3" x14ac:dyDescent="0.25">
      <c r="A126" s="2">
        <v>114</v>
      </c>
      <c r="B126" s="2"/>
      <c r="C126" s="2"/>
    </row>
    <row r="127" spans="1:3" x14ac:dyDescent="0.25">
      <c r="A127" s="2">
        <v>115</v>
      </c>
      <c r="B127" s="2"/>
      <c r="C127" s="2"/>
    </row>
    <row r="128" spans="1:3" x14ac:dyDescent="0.25">
      <c r="A128" s="2">
        <v>116</v>
      </c>
      <c r="B128" s="2"/>
      <c r="C128" s="2"/>
    </row>
    <row r="129" spans="1:3" x14ac:dyDescent="0.25">
      <c r="A129" s="2">
        <v>117</v>
      </c>
      <c r="B129" s="2"/>
      <c r="C129" s="2"/>
    </row>
    <row r="130" spans="1:3" x14ac:dyDescent="0.25">
      <c r="A130" s="2">
        <v>118</v>
      </c>
      <c r="B130" s="2"/>
      <c r="C130" s="2"/>
    </row>
    <row r="131" spans="1:3" x14ac:dyDescent="0.25">
      <c r="A131" s="2">
        <v>119</v>
      </c>
      <c r="B131" s="2"/>
      <c r="C131" s="2"/>
    </row>
    <row r="133" spans="1:3" x14ac:dyDescent="0.25">
      <c r="A133" s="2" t="s">
        <v>34</v>
      </c>
      <c r="B133" s="2" t="e">
        <f>AVERAGE(B12:B42,B101:B131)+profile_1_baseline_offset_</f>
        <v>#DIV/0!</v>
      </c>
      <c r="C133" s="2" t="e">
        <f>AVERAGE(C12:C42,C101:C131)+profile_2_baseline_offset_</f>
        <v>#DIV/0!</v>
      </c>
    </row>
    <row r="134" spans="1:3" x14ac:dyDescent="0.25">
      <c r="A134" s="2" t="s">
        <v>33</v>
      </c>
      <c r="B134" s="2">
        <f>MIN(B12:B131)+_xlfn.SINGLE(profile_1_min_offset_)</f>
        <v>30</v>
      </c>
      <c r="C134" s="2">
        <f>MIN(C12:C131)+_xlfn.SINGLE(profile_2_min_offset_)</f>
        <v>10</v>
      </c>
    </row>
    <row r="135" spans="1:3" x14ac:dyDescent="0.25">
      <c r="A135" s="2" t="s">
        <v>36</v>
      </c>
      <c r="B135" s="2" t="e">
        <f>B134+(B133-B134)/2</f>
        <v>#DIV/0!</v>
      </c>
      <c r="C135" s="2" t="e">
        <f>C134+(C133-C134)/2</f>
        <v>#DIV/0!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4E7C-9BE0-4252-A2CC-1727B87CB5E9}">
  <dimension ref="A1:N47"/>
  <sheetViews>
    <sheetView workbookViewId="0">
      <selection activeCell="N3" sqref="N3"/>
    </sheetView>
  </sheetViews>
  <sheetFormatPr defaultColWidth="8.85546875" defaultRowHeight="15" x14ac:dyDescent="0.25"/>
  <cols>
    <col min="1" max="1" width="30.42578125" bestFit="1" customWidth="1"/>
    <col min="2" max="2" width="16.140625" bestFit="1" customWidth="1"/>
    <col min="3" max="3" width="31" bestFit="1" customWidth="1"/>
    <col min="4" max="4" width="30.42578125" customWidth="1"/>
    <col min="5" max="5" width="16.85546875" customWidth="1"/>
    <col min="6" max="6" width="24.42578125" bestFit="1" customWidth="1"/>
    <col min="7" max="7" width="24.85546875" bestFit="1" customWidth="1"/>
    <col min="8" max="8" width="23.85546875" bestFit="1" customWidth="1"/>
    <col min="9" max="9" width="14" bestFit="1" customWidth="1"/>
  </cols>
  <sheetData>
    <row r="1" spans="1:14" ht="26.25" x14ac:dyDescent="0.4">
      <c r="A1" s="60" t="s">
        <v>84</v>
      </c>
      <c r="B1" s="60"/>
    </row>
    <row r="2" spans="1:14" ht="15" customHeight="1" x14ac:dyDescent="0.4">
      <c r="A2" s="4"/>
      <c r="B2" s="23"/>
      <c r="N2" t="s">
        <v>161</v>
      </c>
    </row>
    <row r="3" spans="1:14" ht="15" customHeight="1" x14ac:dyDescent="0.25">
      <c r="A3" s="16" t="s">
        <v>92</v>
      </c>
      <c r="B3" s="16" t="s">
        <v>94</v>
      </c>
      <c r="C3" s="16" t="s">
        <v>93</v>
      </c>
      <c r="D3" s="16" t="s">
        <v>91</v>
      </c>
    </row>
    <row r="4" spans="1:14" x14ac:dyDescent="0.25">
      <c r="A4" s="25" t="e">
        <f>H45+H46</f>
        <v>#DIV/0!</v>
      </c>
      <c r="B4" s="25" t="e">
        <f>H45</f>
        <v>#DIV/0!</v>
      </c>
      <c r="C4" s="25" t="e">
        <f>H45-H46</f>
        <v>#DIV/0!</v>
      </c>
      <c r="D4" s="25">
        <f>I47</f>
        <v>0</v>
      </c>
    </row>
    <row r="6" spans="1:14" x14ac:dyDescent="0.25">
      <c r="A6" s="1" t="s">
        <v>10</v>
      </c>
      <c r="B6" s="1" t="s">
        <v>86</v>
      </c>
    </row>
    <row r="7" spans="1:14" x14ac:dyDescent="0.25">
      <c r="A7" s="2" t="s">
        <v>87</v>
      </c>
      <c r="B7" s="2"/>
    </row>
    <row r="8" spans="1:14" x14ac:dyDescent="0.25">
      <c r="A8" s="2" t="s">
        <v>88</v>
      </c>
      <c r="B8" s="2"/>
    </row>
    <row r="9" spans="1:14" x14ac:dyDescent="0.25">
      <c r="A9" s="2" t="s">
        <v>83</v>
      </c>
      <c r="B9" s="2">
        <v>8</v>
      </c>
    </row>
    <row r="10" spans="1:14" x14ac:dyDescent="0.25">
      <c r="A10" s="2" t="s">
        <v>77</v>
      </c>
      <c r="B10" s="2">
        <v>120</v>
      </c>
    </row>
    <row r="12" spans="1:14" x14ac:dyDescent="0.25">
      <c r="A12" s="1" t="s">
        <v>12</v>
      </c>
      <c r="B12" s="1" t="s">
        <v>86</v>
      </c>
    </row>
    <row r="13" spans="1:14" x14ac:dyDescent="0.25">
      <c r="A13" s="2" t="s">
        <v>89</v>
      </c>
      <c r="B13" s="3">
        <f>(SUM(F21:F39)-(slice_thk_+slice_gap_)*SUM(A21:A39))/19</f>
        <v>0</v>
      </c>
    </row>
    <row r="16" spans="1:14" x14ac:dyDescent="0.25">
      <c r="A16" s="1" t="s">
        <v>79</v>
      </c>
      <c r="B16" s="1" t="s">
        <v>78</v>
      </c>
      <c r="C16" s="1" t="s">
        <v>80</v>
      </c>
      <c r="D16" s="1" t="s">
        <v>81</v>
      </c>
      <c r="E16" s="1" t="s">
        <v>90</v>
      </c>
      <c r="F16" s="1" t="s">
        <v>82</v>
      </c>
      <c r="G16" s="1" t="s">
        <v>85</v>
      </c>
      <c r="H16" s="1" t="s">
        <v>96</v>
      </c>
      <c r="I16" s="1" t="s">
        <v>95</v>
      </c>
    </row>
    <row r="17" spans="1:9" x14ac:dyDescent="0.25">
      <c r="A17" s="2">
        <v>1</v>
      </c>
      <c r="B17" s="2"/>
      <c r="C17" s="2"/>
      <c r="D17" s="2" t="str">
        <f t="shared" ref="D17:D43" si="0">IF(ISBLANK(B17),"",rda_/C17)</f>
        <v/>
      </c>
      <c r="E17" s="2">
        <v>-1</v>
      </c>
      <c r="F17" s="2" t="str">
        <f t="shared" ref="F17:F29" si="1">IF(ISBLANK(B17),"",E17*SQRT((B17*D17)^2-angled_rod_sep_^2)/2)</f>
        <v/>
      </c>
      <c r="G17" s="2" t="str">
        <f>IF(ISBLANK(B17),"",A17*(slice_thk_+slice_gap_)+slice_offset_)</f>
        <v/>
      </c>
      <c r="H17" s="2" t="str">
        <f>IF(ISBLANK(B17),"",G17-F17)</f>
        <v/>
      </c>
      <c r="I17" s="2" t="str">
        <f>IF(ISBLANK(B17),"",ABS(H17))</f>
        <v/>
      </c>
    </row>
    <row r="18" spans="1:9" x14ac:dyDescent="0.25">
      <c r="A18" s="2">
        <v>2</v>
      </c>
      <c r="B18" s="2"/>
      <c r="C18" s="2"/>
      <c r="D18" s="2" t="str">
        <f t="shared" si="0"/>
        <v/>
      </c>
      <c r="E18" s="2">
        <v>-1</v>
      </c>
      <c r="F18" s="2" t="str">
        <f t="shared" si="1"/>
        <v/>
      </c>
      <c r="G18" s="2" t="str">
        <f>IF(ISBLANK(B18),"",A18*(slice_thk_+slice_gap_)+slice_offset_)</f>
        <v/>
      </c>
      <c r="H18" s="2" t="str">
        <f t="shared" ref="H18:H43" si="2">IF(ISBLANK(B18),"",G18-F18)</f>
        <v/>
      </c>
      <c r="I18" s="2" t="str">
        <f t="shared" ref="I18:I43" si="3">IF(ISBLANK(B18),"",ABS(H18))</f>
        <v/>
      </c>
    </row>
    <row r="19" spans="1:9" x14ac:dyDescent="0.25">
      <c r="A19" s="2">
        <v>3</v>
      </c>
      <c r="B19" s="2"/>
      <c r="C19" s="2"/>
      <c r="D19" s="2" t="str">
        <f t="shared" si="0"/>
        <v/>
      </c>
      <c r="E19" s="2">
        <v>-1</v>
      </c>
      <c r="F19" s="2" t="str">
        <f t="shared" si="1"/>
        <v/>
      </c>
      <c r="G19" s="2" t="str">
        <f>IF(ISBLANK(B19),"",A19*(slice_thk_+slice_gap_)+slice_offset_)</f>
        <v/>
      </c>
      <c r="H19" s="2" t="str">
        <f t="shared" si="2"/>
        <v/>
      </c>
      <c r="I19" s="2" t="str">
        <f t="shared" si="3"/>
        <v/>
      </c>
    </row>
    <row r="20" spans="1:9" x14ac:dyDescent="0.25">
      <c r="A20" s="2">
        <v>4</v>
      </c>
      <c r="B20" s="2"/>
      <c r="C20" s="2"/>
      <c r="D20" s="2" t="str">
        <f t="shared" si="0"/>
        <v/>
      </c>
      <c r="E20" s="2">
        <v>-1</v>
      </c>
      <c r="F20" s="2" t="str">
        <f t="shared" si="1"/>
        <v/>
      </c>
      <c r="G20" s="2" t="str">
        <f>IF(ISBLANK(B20),"",A20*(slice_thk_+slice_gap_)+slice_offset_)</f>
        <v/>
      </c>
      <c r="H20" s="2" t="str">
        <f t="shared" si="2"/>
        <v/>
      </c>
      <c r="I20" s="2" t="str">
        <f t="shared" si="3"/>
        <v/>
      </c>
    </row>
    <row r="21" spans="1:9" x14ac:dyDescent="0.25">
      <c r="A21" s="2">
        <v>5</v>
      </c>
      <c r="B21" s="2"/>
      <c r="C21" s="2"/>
      <c r="D21" s="2" t="str">
        <f t="shared" si="0"/>
        <v/>
      </c>
      <c r="E21" s="2">
        <v>-1</v>
      </c>
      <c r="F21" s="2" t="str">
        <f t="shared" si="1"/>
        <v/>
      </c>
      <c r="G21" s="2" t="str">
        <f>IF(ISBLANK(B21),"",A21*(slice_thk_+slice_gap_)+slice_offset_)</f>
        <v/>
      </c>
      <c r="H21" s="2" t="str">
        <f t="shared" si="2"/>
        <v/>
      </c>
      <c r="I21" s="2" t="str">
        <f t="shared" si="3"/>
        <v/>
      </c>
    </row>
    <row r="22" spans="1:9" x14ac:dyDescent="0.25">
      <c r="A22" s="2">
        <v>6</v>
      </c>
      <c r="B22" s="2"/>
      <c r="C22" s="2"/>
      <c r="D22" s="2" t="str">
        <f t="shared" si="0"/>
        <v/>
      </c>
      <c r="E22" s="2">
        <v>-1</v>
      </c>
      <c r="F22" s="2" t="str">
        <f t="shared" si="1"/>
        <v/>
      </c>
      <c r="G22" s="2" t="str" cm="1">
        <f t="array" ref="G22">IF(ISBLANK(B22),"",A22*(slice_thk_+slice_gap_)+slice_offset_)</f>
        <v/>
      </c>
      <c r="H22" s="2" t="str">
        <f t="shared" si="2"/>
        <v/>
      </c>
      <c r="I22" s="2" t="str">
        <f t="shared" si="3"/>
        <v/>
      </c>
    </row>
    <row r="23" spans="1:9" x14ac:dyDescent="0.25">
      <c r="A23" s="2">
        <v>7</v>
      </c>
      <c r="B23" s="2"/>
      <c r="C23" s="2"/>
      <c r="D23" s="2" t="str">
        <f t="shared" si="0"/>
        <v/>
      </c>
      <c r="E23" s="2">
        <v>-1</v>
      </c>
      <c r="F23" s="2" t="str">
        <f t="shared" si="1"/>
        <v/>
      </c>
      <c r="G23" s="2" t="str">
        <f t="shared" ref="G23:G29" si="4">IF(ISBLANK(B23),"",A23*(slice_thk_+slice_gap_)+slice_offset_)</f>
        <v/>
      </c>
      <c r="H23" s="2" t="str">
        <f t="shared" si="2"/>
        <v/>
      </c>
      <c r="I23" s="2" t="str">
        <f t="shared" si="3"/>
        <v/>
      </c>
    </row>
    <row r="24" spans="1:9" x14ac:dyDescent="0.25">
      <c r="A24" s="2">
        <v>8</v>
      </c>
      <c r="B24" s="2"/>
      <c r="C24" s="2"/>
      <c r="D24" s="2" t="str">
        <f t="shared" si="0"/>
        <v/>
      </c>
      <c r="E24" s="2">
        <v>-1</v>
      </c>
      <c r="F24" s="2" t="str">
        <f t="shared" si="1"/>
        <v/>
      </c>
      <c r="G24" s="2" t="str">
        <f t="shared" si="4"/>
        <v/>
      </c>
      <c r="H24" s="2" t="str">
        <f t="shared" si="2"/>
        <v/>
      </c>
      <c r="I24" s="2" t="str">
        <f t="shared" si="3"/>
        <v/>
      </c>
    </row>
    <row r="25" spans="1:9" x14ac:dyDescent="0.25">
      <c r="A25" s="2">
        <v>9</v>
      </c>
      <c r="B25" s="2"/>
      <c r="C25" s="2"/>
      <c r="D25" s="2" t="str">
        <f t="shared" si="0"/>
        <v/>
      </c>
      <c r="E25" s="2">
        <v>-1</v>
      </c>
      <c r="F25" s="2" t="str">
        <f t="shared" si="1"/>
        <v/>
      </c>
      <c r="G25" s="2" t="str">
        <f t="shared" si="4"/>
        <v/>
      </c>
      <c r="H25" s="2" t="str">
        <f t="shared" si="2"/>
        <v/>
      </c>
      <c r="I25" s="2" t="str">
        <f t="shared" si="3"/>
        <v/>
      </c>
    </row>
    <row r="26" spans="1:9" x14ac:dyDescent="0.25">
      <c r="A26" s="2">
        <v>10</v>
      </c>
      <c r="B26" s="2"/>
      <c r="C26" s="2"/>
      <c r="D26" s="2" t="str">
        <f t="shared" si="0"/>
        <v/>
      </c>
      <c r="E26" s="2">
        <v>-1</v>
      </c>
      <c r="F26" s="2" t="str">
        <f t="shared" si="1"/>
        <v/>
      </c>
      <c r="G26" s="2" t="str">
        <f t="shared" si="4"/>
        <v/>
      </c>
      <c r="H26" s="2" t="str">
        <f t="shared" si="2"/>
        <v/>
      </c>
      <c r="I26" s="2" t="str">
        <f t="shared" si="3"/>
        <v/>
      </c>
    </row>
    <row r="27" spans="1:9" x14ac:dyDescent="0.25">
      <c r="A27" s="2">
        <v>11</v>
      </c>
      <c r="B27" s="2"/>
      <c r="C27" s="2"/>
      <c r="D27" s="2" t="str">
        <f t="shared" si="0"/>
        <v/>
      </c>
      <c r="E27" s="2">
        <v>-1</v>
      </c>
      <c r="F27" s="2" t="str">
        <f t="shared" si="1"/>
        <v/>
      </c>
      <c r="G27" s="2" t="str">
        <f t="shared" si="4"/>
        <v/>
      </c>
      <c r="H27" s="2" t="str">
        <f t="shared" si="2"/>
        <v/>
      </c>
      <c r="I27" s="2" t="str">
        <f t="shared" si="3"/>
        <v/>
      </c>
    </row>
    <row r="28" spans="1:9" x14ac:dyDescent="0.25">
      <c r="A28" s="2">
        <v>12</v>
      </c>
      <c r="B28" s="2"/>
      <c r="C28" s="2"/>
      <c r="D28" s="2" t="str">
        <f t="shared" si="0"/>
        <v/>
      </c>
      <c r="E28" s="2">
        <v>-1</v>
      </c>
      <c r="F28" s="2" t="str">
        <f t="shared" si="1"/>
        <v/>
      </c>
      <c r="G28" s="2" t="str">
        <f t="shared" si="4"/>
        <v/>
      </c>
      <c r="H28" s="2" t="str">
        <f t="shared" si="2"/>
        <v/>
      </c>
      <c r="I28" s="2" t="str">
        <f t="shared" si="3"/>
        <v/>
      </c>
    </row>
    <row r="29" spans="1:9" x14ac:dyDescent="0.25">
      <c r="A29" s="2">
        <v>13</v>
      </c>
      <c r="B29" s="2"/>
      <c r="C29" s="2"/>
      <c r="D29" s="2" t="str">
        <f t="shared" si="0"/>
        <v/>
      </c>
      <c r="E29" s="2">
        <v>-1</v>
      </c>
      <c r="F29" s="2" t="str">
        <f t="shared" si="1"/>
        <v/>
      </c>
      <c r="G29" s="2" t="str">
        <f t="shared" si="4"/>
        <v/>
      </c>
      <c r="H29" s="2" t="str">
        <f t="shared" si="2"/>
        <v/>
      </c>
      <c r="I29" s="2" t="str">
        <f t="shared" si="3"/>
        <v/>
      </c>
    </row>
    <row r="30" spans="1:9" x14ac:dyDescent="0.25">
      <c r="A30" s="2">
        <v>14</v>
      </c>
      <c r="B30" s="2"/>
      <c r="C30" s="2"/>
      <c r="D30" s="2" t="str">
        <f t="shared" si="0"/>
        <v/>
      </c>
      <c r="E30" s="2">
        <v>1</v>
      </c>
      <c r="F30" s="2"/>
      <c r="G30" s="2"/>
      <c r="H30" s="2"/>
      <c r="I30" s="2"/>
    </row>
    <row r="31" spans="1:9" x14ac:dyDescent="0.25">
      <c r="A31" s="2">
        <v>15</v>
      </c>
      <c r="B31" s="2"/>
      <c r="C31" s="2"/>
      <c r="D31" s="2" t="str">
        <f t="shared" si="0"/>
        <v/>
      </c>
      <c r="E31" s="2">
        <v>1</v>
      </c>
      <c r="F31" s="2" t="str">
        <f t="shared" ref="F31:F43" si="5">IF(ISBLANK(B31),"",E31*SQRT((B31*D31)^2-angled_rod_sep_^2)/2)</f>
        <v/>
      </c>
      <c r="G31" s="2" t="str">
        <f t="shared" ref="G31:G43" si="6">IF(ISBLANK(B31),"",A31*(slice_thk_+slice_gap_)+slice_offset_)</f>
        <v/>
      </c>
      <c r="H31" s="2" t="str">
        <f t="shared" si="2"/>
        <v/>
      </c>
      <c r="I31" s="2" t="str">
        <f t="shared" si="3"/>
        <v/>
      </c>
    </row>
    <row r="32" spans="1:9" x14ac:dyDescent="0.25">
      <c r="A32" s="2">
        <v>16</v>
      </c>
      <c r="B32" s="2"/>
      <c r="C32" s="2"/>
      <c r="D32" s="2" t="str">
        <f t="shared" si="0"/>
        <v/>
      </c>
      <c r="E32" s="2">
        <v>1</v>
      </c>
      <c r="F32" s="2" t="str">
        <f t="shared" si="5"/>
        <v/>
      </c>
      <c r="G32" s="2" t="str">
        <f t="shared" si="6"/>
        <v/>
      </c>
      <c r="H32" s="2" t="str">
        <f t="shared" si="2"/>
        <v/>
      </c>
      <c r="I32" s="2" t="str">
        <f t="shared" si="3"/>
        <v/>
      </c>
    </row>
    <row r="33" spans="1:9" x14ac:dyDescent="0.25">
      <c r="A33" s="2">
        <v>17</v>
      </c>
      <c r="B33" s="2"/>
      <c r="C33" s="2"/>
      <c r="D33" s="2" t="str">
        <f t="shared" si="0"/>
        <v/>
      </c>
      <c r="E33" s="2">
        <v>1</v>
      </c>
      <c r="F33" s="2" t="str">
        <f t="shared" si="5"/>
        <v/>
      </c>
      <c r="G33" s="2" t="str">
        <f t="shared" si="6"/>
        <v/>
      </c>
      <c r="H33" s="2" t="str">
        <f t="shared" si="2"/>
        <v/>
      </c>
      <c r="I33" s="2" t="str">
        <f t="shared" si="3"/>
        <v/>
      </c>
    </row>
    <row r="34" spans="1:9" x14ac:dyDescent="0.25">
      <c r="A34" s="2">
        <v>18</v>
      </c>
      <c r="B34" s="2"/>
      <c r="C34" s="2"/>
      <c r="D34" s="2" t="str">
        <f t="shared" si="0"/>
        <v/>
      </c>
      <c r="E34" s="2">
        <v>1</v>
      </c>
      <c r="F34" s="2" t="str">
        <f t="shared" si="5"/>
        <v/>
      </c>
      <c r="G34" s="2" t="str">
        <f t="shared" si="6"/>
        <v/>
      </c>
      <c r="H34" s="2" t="str">
        <f t="shared" si="2"/>
        <v/>
      </c>
      <c r="I34" s="2" t="str">
        <f t="shared" si="3"/>
        <v/>
      </c>
    </row>
    <row r="35" spans="1:9" x14ac:dyDescent="0.25">
      <c r="A35" s="2">
        <v>19</v>
      </c>
      <c r="B35" s="2"/>
      <c r="C35" s="2"/>
      <c r="D35" s="2" t="str">
        <f t="shared" si="0"/>
        <v/>
      </c>
      <c r="E35" s="2">
        <v>1</v>
      </c>
      <c r="F35" s="2" t="str">
        <f t="shared" si="5"/>
        <v/>
      </c>
      <c r="G35" s="2" t="str">
        <f t="shared" si="6"/>
        <v/>
      </c>
      <c r="H35" s="2" t="str">
        <f t="shared" si="2"/>
        <v/>
      </c>
      <c r="I35" s="2" t="str">
        <f t="shared" si="3"/>
        <v/>
      </c>
    </row>
    <row r="36" spans="1:9" x14ac:dyDescent="0.25">
      <c r="A36" s="2">
        <v>20</v>
      </c>
      <c r="B36" s="2"/>
      <c r="C36" s="2"/>
      <c r="D36" s="2" t="str">
        <f t="shared" si="0"/>
        <v/>
      </c>
      <c r="E36" s="2">
        <v>1</v>
      </c>
      <c r="F36" s="2" t="str">
        <f t="shared" si="5"/>
        <v/>
      </c>
      <c r="G36" s="2" t="str">
        <f t="shared" si="6"/>
        <v/>
      </c>
      <c r="H36" s="2" t="str">
        <f t="shared" si="2"/>
        <v/>
      </c>
      <c r="I36" s="2" t="str">
        <f t="shared" si="3"/>
        <v/>
      </c>
    </row>
    <row r="37" spans="1:9" x14ac:dyDescent="0.25">
      <c r="A37" s="2">
        <v>21</v>
      </c>
      <c r="B37" s="2"/>
      <c r="C37" s="2"/>
      <c r="D37" s="2" t="str">
        <f t="shared" si="0"/>
        <v/>
      </c>
      <c r="E37" s="2">
        <v>1</v>
      </c>
      <c r="F37" s="2" t="str">
        <f t="shared" si="5"/>
        <v/>
      </c>
      <c r="G37" s="2" t="str">
        <f t="shared" si="6"/>
        <v/>
      </c>
      <c r="H37" s="2" t="str">
        <f t="shared" si="2"/>
        <v/>
      </c>
      <c r="I37" s="2" t="str">
        <f t="shared" si="3"/>
        <v/>
      </c>
    </row>
    <row r="38" spans="1:9" x14ac:dyDescent="0.25">
      <c r="A38" s="2">
        <v>22</v>
      </c>
      <c r="B38" s="2"/>
      <c r="C38" s="2"/>
      <c r="D38" s="2" t="str">
        <f t="shared" si="0"/>
        <v/>
      </c>
      <c r="E38" s="2">
        <v>1</v>
      </c>
      <c r="F38" s="2" t="str">
        <f t="shared" si="5"/>
        <v/>
      </c>
      <c r="G38" s="2" t="str">
        <f t="shared" si="6"/>
        <v/>
      </c>
      <c r="H38" s="2" t="str">
        <f t="shared" si="2"/>
        <v/>
      </c>
      <c r="I38" s="2" t="str">
        <f t="shared" si="3"/>
        <v/>
      </c>
    </row>
    <row r="39" spans="1:9" x14ac:dyDescent="0.25">
      <c r="A39" s="2">
        <v>23</v>
      </c>
      <c r="B39" s="2"/>
      <c r="C39" s="2"/>
      <c r="D39" s="2" t="str">
        <f t="shared" si="0"/>
        <v/>
      </c>
      <c r="E39" s="2">
        <v>1</v>
      </c>
      <c r="F39" s="2" t="str">
        <f t="shared" si="5"/>
        <v/>
      </c>
      <c r="G39" s="2" t="str">
        <f t="shared" si="6"/>
        <v/>
      </c>
      <c r="H39" s="2" t="str">
        <f t="shared" si="2"/>
        <v/>
      </c>
      <c r="I39" s="2" t="str">
        <f t="shared" si="3"/>
        <v/>
      </c>
    </row>
    <row r="40" spans="1:9" x14ac:dyDescent="0.25">
      <c r="A40" s="2">
        <v>24</v>
      </c>
      <c r="B40" s="2"/>
      <c r="C40" s="2"/>
      <c r="D40" s="2" t="str">
        <f t="shared" si="0"/>
        <v/>
      </c>
      <c r="E40" s="2">
        <v>1</v>
      </c>
      <c r="F40" s="2" t="str">
        <f t="shared" si="5"/>
        <v/>
      </c>
      <c r="G40" s="2" t="str">
        <f t="shared" si="6"/>
        <v/>
      </c>
      <c r="H40" s="2" t="str">
        <f t="shared" si="2"/>
        <v/>
      </c>
      <c r="I40" s="2" t="str">
        <f t="shared" si="3"/>
        <v/>
      </c>
    </row>
    <row r="41" spans="1:9" x14ac:dyDescent="0.25">
      <c r="A41" s="2">
        <v>25</v>
      </c>
      <c r="B41" s="2"/>
      <c r="C41" s="2"/>
      <c r="D41" s="2" t="str">
        <f t="shared" si="0"/>
        <v/>
      </c>
      <c r="E41" s="2">
        <v>1</v>
      </c>
      <c r="F41" s="2" t="str">
        <f t="shared" si="5"/>
        <v/>
      </c>
      <c r="G41" s="2" t="str">
        <f t="shared" si="6"/>
        <v/>
      </c>
      <c r="H41" s="2" t="str">
        <f t="shared" si="2"/>
        <v/>
      </c>
      <c r="I41" s="2" t="str">
        <f t="shared" si="3"/>
        <v/>
      </c>
    </row>
    <row r="42" spans="1:9" x14ac:dyDescent="0.25">
      <c r="A42" s="2">
        <v>26</v>
      </c>
      <c r="B42" s="2"/>
      <c r="C42" s="2"/>
      <c r="D42" s="2" t="str">
        <f t="shared" si="0"/>
        <v/>
      </c>
      <c r="E42" s="2">
        <v>1</v>
      </c>
      <c r="F42" s="2" t="str">
        <f t="shared" si="5"/>
        <v/>
      </c>
      <c r="G42" s="2" t="str">
        <f t="shared" si="6"/>
        <v/>
      </c>
      <c r="H42" s="2" t="str">
        <f t="shared" si="2"/>
        <v/>
      </c>
      <c r="I42" s="2" t="str">
        <f t="shared" si="3"/>
        <v/>
      </c>
    </row>
    <row r="43" spans="1:9" x14ac:dyDescent="0.25">
      <c r="A43" s="2">
        <v>27</v>
      </c>
      <c r="B43" s="2"/>
      <c r="C43" s="2"/>
      <c r="D43" s="2" t="str">
        <f t="shared" si="0"/>
        <v/>
      </c>
      <c r="E43" s="2">
        <v>1</v>
      </c>
      <c r="F43" s="2" t="str">
        <f t="shared" si="5"/>
        <v/>
      </c>
      <c r="G43" s="2" t="str">
        <f t="shared" si="6"/>
        <v/>
      </c>
      <c r="H43" s="2" t="str">
        <f t="shared" si="2"/>
        <v/>
      </c>
      <c r="I43" s="2" t="str">
        <f t="shared" si="3"/>
        <v/>
      </c>
    </row>
    <row r="45" spans="1:9" x14ac:dyDescent="0.25">
      <c r="G45" s="1" t="s">
        <v>97</v>
      </c>
      <c r="H45" s="2" t="e">
        <f>AVERAGE(H17:H43)</f>
        <v>#DIV/0!</v>
      </c>
      <c r="I45" s="24"/>
    </row>
    <row r="46" spans="1:9" x14ac:dyDescent="0.25">
      <c r="G46" s="1" t="s">
        <v>58</v>
      </c>
      <c r="H46" s="2" t="e">
        <f>STDEV(H18:H44)</f>
        <v>#DIV/0!</v>
      </c>
      <c r="I46" s="24"/>
    </row>
    <row r="47" spans="1:9" x14ac:dyDescent="0.25">
      <c r="G47" s="1" t="s">
        <v>98</v>
      </c>
      <c r="H47" s="24"/>
      <c r="I47" s="2">
        <f>MAX(I17:I43)</f>
        <v>0</v>
      </c>
    </row>
  </sheetData>
  <mergeCells count="1">
    <mergeCell ref="A1:B1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ACB6-539D-48D8-AC64-BBF3A7078945}">
  <dimension ref="A1:P111"/>
  <sheetViews>
    <sheetView workbookViewId="0">
      <selection activeCell="R28" sqref="R28"/>
    </sheetView>
  </sheetViews>
  <sheetFormatPr defaultColWidth="8.85546875" defaultRowHeight="15" x14ac:dyDescent="0.25"/>
  <cols>
    <col min="1" max="1" width="24.42578125" bestFit="1" customWidth="1"/>
    <col min="2" max="5" width="12" bestFit="1" customWidth="1"/>
    <col min="6" max="6" width="11.28515625" bestFit="1" customWidth="1"/>
    <col min="7" max="7" width="8" bestFit="1" customWidth="1"/>
    <col min="8" max="9" width="7.85546875" bestFit="1" customWidth="1"/>
    <col min="10" max="10" width="18" bestFit="1" customWidth="1"/>
  </cols>
  <sheetData>
    <row r="1" spans="1:16" ht="26.25" x14ac:dyDescent="0.4">
      <c r="A1" s="60" t="s">
        <v>106</v>
      </c>
      <c r="B1" s="60"/>
    </row>
    <row r="3" spans="1:16" x14ac:dyDescent="0.25">
      <c r="A3" s="26" t="s">
        <v>101</v>
      </c>
      <c r="B3" s="27" t="s">
        <v>102</v>
      </c>
      <c r="C3" s="27" t="s">
        <v>103</v>
      </c>
      <c r="D3" s="27" t="s">
        <v>104</v>
      </c>
      <c r="E3" s="27" t="s">
        <v>105</v>
      </c>
    </row>
    <row r="4" spans="1:16" x14ac:dyDescent="0.25">
      <c r="A4" s="3">
        <f>MAX(B12:B111)</f>
        <v>0</v>
      </c>
      <c r="B4" s="3">
        <f>MIN(B12:B111)</f>
        <v>0</v>
      </c>
      <c r="C4" s="3">
        <f>A4-B4</f>
        <v>0</v>
      </c>
      <c r="D4" s="3" t="e">
        <f>AVERAGE(B12:B111)</f>
        <v>#DIV/0!</v>
      </c>
      <c r="E4" s="28" t="e">
        <f>C4/D4</f>
        <v>#DIV/0!</v>
      </c>
    </row>
    <row r="6" spans="1:16" x14ac:dyDescent="0.25">
      <c r="A6" s="2"/>
      <c r="B6" s="61" t="s">
        <v>117</v>
      </c>
      <c r="C6" s="61"/>
      <c r="D6" s="61"/>
      <c r="E6" s="61"/>
      <c r="J6" s="29"/>
    </row>
    <row r="7" spans="1:16" x14ac:dyDescent="0.25">
      <c r="A7" s="2"/>
      <c r="B7" s="26" t="s">
        <v>108</v>
      </c>
      <c r="C7" s="27" t="s">
        <v>109</v>
      </c>
      <c r="D7" s="27" t="s">
        <v>110</v>
      </c>
      <c r="E7" s="27" t="s">
        <v>111</v>
      </c>
      <c r="J7" s="29"/>
    </row>
    <row r="8" spans="1:16" x14ac:dyDescent="0.25">
      <c r="A8" s="1" t="s">
        <v>118</v>
      </c>
      <c r="B8" s="3" t="e">
        <f>AVERAGE(B12:B36)</f>
        <v>#DIV/0!</v>
      </c>
      <c r="C8" s="3" t="e">
        <f>AVERAGE(B37:B61)</f>
        <v>#DIV/0!</v>
      </c>
      <c r="D8" s="3" t="e">
        <f>AVERAGE(B62:B86)</f>
        <v>#DIV/0!</v>
      </c>
      <c r="E8" s="3" t="e">
        <f>AVERAGE(B87:B111)</f>
        <v>#DIV/0!</v>
      </c>
      <c r="J8" s="29"/>
    </row>
    <row r="9" spans="1:16" x14ac:dyDescent="0.25">
      <c r="A9" s="1" t="s">
        <v>119</v>
      </c>
      <c r="B9" s="3" t="e">
        <f>STDEV(B12:B36)</f>
        <v>#DIV/0!</v>
      </c>
      <c r="C9" s="3" t="e">
        <f>STDEV(B37:B61)</f>
        <v>#DIV/0!</v>
      </c>
      <c r="D9" s="3" t="e">
        <f>STDEV(B62:B86)</f>
        <v>#DIV/0!</v>
      </c>
      <c r="E9" s="3" t="e">
        <f>STDEV(B87:B111)</f>
        <v>#DIV/0!</v>
      </c>
      <c r="J9" s="29"/>
    </row>
    <row r="10" spans="1:16" x14ac:dyDescent="0.25">
      <c r="J10" s="29"/>
      <c r="P10" t="s">
        <v>160</v>
      </c>
    </row>
    <row r="11" spans="1:16" x14ac:dyDescent="0.25">
      <c r="A11" s="1" t="s">
        <v>116</v>
      </c>
      <c r="B11" s="1" t="s">
        <v>107</v>
      </c>
    </row>
    <row r="12" spans="1:16" x14ac:dyDescent="0.25">
      <c r="A12" s="2" t="s">
        <v>112</v>
      </c>
      <c r="B12" s="2"/>
    </row>
    <row r="13" spans="1:16" x14ac:dyDescent="0.25">
      <c r="A13" s="2" t="s">
        <v>112</v>
      </c>
      <c r="B13" s="2"/>
    </row>
    <row r="14" spans="1:16" x14ac:dyDescent="0.25">
      <c r="A14" s="2" t="s">
        <v>112</v>
      </c>
      <c r="B14" s="2"/>
    </row>
    <row r="15" spans="1:16" x14ac:dyDescent="0.25">
      <c r="A15" s="2" t="s">
        <v>112</v>
      </c>
      <c r="B15" s="2"/>
    </row>
    <row r="16" spans="1:16" x14ac:dyDescent="0.25">
      <c r="A16" s="2" t="s">
        <v>112</v>
      </c>
      <c r="B16" s="2"/>
    </row>
    <row r="17" spans="1:2" x14ac:dyDescent="0.25">
      <c r="A17" s="2" t="s">
        <v>112</v>
      </c>
      <c r="B17" s="2"/>
    </row>
    <row r="18" spans="1:2" x14ac:dyDescent="0.25">
      <c r="A18" s="2" t="s">
        <v>112</v>
      </c>
      <c r="B18" s="2"/>
    </row>
    <row r="19" spans="1:2" x14ac:dyDescent="0.25">
      <c r="A19" s="2" t="s">
        <v>112</v>
      </c>
      <c r="B19" s="2"/>
    </row>
    <row r="20" spans="1:2" x14ac:dyDescent="0.25">
      <c r="A20" s="2" t="s">
        <v>112</v>
      </c>
      <c r="B20" s="2"/>
    </row>
    <row r="21" spans="1:2" x14ac:dyDescent="0.25">
      <c r="A21" s="2" t="s">
        <v>112</v>
      </c>
      <c r="B21" s="2"/>
    </row>
    <row r="22" spans="1:2" x14ac:dyDescent="0.25">
      <c r="A22" s="2" t="s">
        <v>112</v>
      </c>
      <c r="B22" s="2"/>
    </row>
    <row r="23" spans="1:2" x14ac:dyDescent="0.25">
      <c r="A23" s="2" t="s">
        <v>112</v>
      </c>
      <c r="B23" s="2"/>
    </row>
    <row r="24" spans="1:2" x14ac:dyDescent="0.25">
      <c r="A24" s="2" t="s">
        <v>112</v>
      </c>
      <c r="B24" s="2"/>
    </row>
    <row r="25" spans="1:2" x14ac:dyDescent="0.25">
      <c r="A25" s="2" t="s">
        <v>112</v>
      </c>
      <c r="B25" s="2"/>
    </row>
    <row r="26" spans="1:2" x14ac:dyDescent="0.25">
      <c r="A26" s="2" t="s">
        <v>112</v>
      </c>
      <c r="B26" s="2"/>
    </row>
    <row r="27" spans="1:2" x14ac:dyDescent="0.25">
      <c r="A27" s="2" t="s">
        <v>112</v>
      </c>
      <c r="B27" s="2"/>
    </row>
    <row r="28" spans="1:2" x14ac:dyDescent="0.25">
      <c r="A28" s="2" t="s">
        <v>112</v>
      </c>
      <c r="B28" s="2"/>
    </row>
    <row r="29" spans="1:2" x14ac:dyDescent="0.25">
      <c r="A29" s="2" t="s">
        <v>112</v>
      </c>
      <c r="B29" s="2"/>
    </row>
    <row r="30" spans="1:2" x14ac:dyDescent="0.25">
      <c r="A30" s="2" t="s">
        <v>112</v>
      </c>
      <c r="B30" s="2"/>
    </row>
    <row r="31" spans="1:2" x14ac:dyDescent="0.25">
      <c r="A31" s="2" t="s">
        <v>112</v>
      </c>
      <c r="B31" s="2"/>
    </row>
    <row r="32" spans="1:2" x14ac:dyDescent="0.25">
      <c r="A32" s="2" t="s">
        <v>112</v>
      </c>
      <c r="B32" s="2"/>
    </row>
    <row r="33" spans="1:2" x14ac:dyDescent="0.25">
      <c r="A33" s="2" t="s">
        <v>112</v>
      </c>
      <c r="B33" s="2"/>
    </row>
    <row r="34" spans="1:2" x14ac:dyDescent="0.25">
      <c r="A34" s="2" t="s">
        <v>112</v>
      </c>
      <c r="B34" s="2"/>
    </row>
    <row r="35" spans="1:2" x14ac:dyDescent="0.25">
      <c r="A35" s="2" t="s">
        <v>112</v>
      </c>
      <c r="B35" s="2"/>
    </row>
    <row r="36" spans="1:2" x14ac:dyDescent="0.25">
      <c r="A36" s="2" t="s">
        <v>112</v>
      </c>
      <c r="B36" s="2"/>
    </row>
    <row r="37" spans="1:2" x14ac:dyDescent="0.25">
      <c r="A37" s="2" t="s">
        <v>113</v>
      </c>
      <c r="B37" s="2"/>
    </row>
    <row r="38" spans="1:2" x14ac:dyDescent="0.25">
      <c r="A38" s="2" t="s">
        <v>113</v>
      </c>
      <c r="B38" s="2"/>
    </row>
    <row r="39" spans="1:2" x14ac:dyDescent="0.25">
      <c r="A39" s="2" t="s">
        <v>113</v>
      </c>
      <c r="B39" s="2"/>
    </row>
    <row r="40" spans="1:2" x14ac:dyDescent="0.25">
      <c r="A40" s="2" t="s">
        <v>113</v>
      </c>
      <c r="B40" s="2"/>
    </row>
    <row r="41" spans="1:2" x14ac:dyDescent="0.25">
      <c r="A41" s="2" t="s">
        <v>113</v>
      </c>
      <c r="B41" s="2"/>
    </row>
    <row r="42" spans="1:2" x14ac:dyDescent="0.25">
      <c r="A42" s="2" t="s">
        <v>113</v>
      </c>
      <c r="B42" s="2"/>
    </row>
    <row r="43" spans="1:2" x14ac:dyDescent="0.25">
      <c r="A43" s="2" t="s">
        <v>113</v>
      </c>
      <c r="B43" s="2"/>
    </row>
    <row r="44" spans="1:2" x14ac:dyDescent="0.25">
      <c r="A44" s="2" t="s">
        <v>113</v>
      </c>
      <c r="B44" s="2"/>
    </row>
    <row r="45" spans="1:2" x14ac:dyDescent="0.25">
      <c r="A45" s="2" t="s">
        <v>113</v>
      </c>
      <c r="B45" s="2"/>
    </row>
    <row r="46" spans="1:2" x14ac:dyDescent="0.25">
      <c r="A46" s="2" t="s">
        <v>113</v>
      </c>
      <c r="B46" s="2"/>
    </row>
    <row r="47" spans="1:2" x14ac:dyDescent="0.25">
      <c r="A47" s="2" t="s">
        <v>113</v>
      </c>
      <c r="B47" s="2"/>
    </row>
    <row r="48" spans="1:2" x14ac:dyDescent="0.25">
      <c r="A48" s="2" t="s">
        <v>113</v>
      </c>
      <c r="B48" s="2"/>
    </row>
    <row r="49" spans="1:2" x14ac:dyDescent="0.25">
      <c r="A49" s="2" t="s">
        <v>113</v>
      </c>
      <c r="B49" s="2"/>
    </row>
    <row r="50" spans="1:2" x14ac:dyDescent="0.25">
      <c r="A50" s="2" t="s">
        <v>113</v>
      </c>
      <c r="B50" s="2"/>
    </row>
    <row r="51" spans="1:2" x14ac:dyDescent="0.25">
      <c r="A51" s="2" t="s">
        <v>113</v>
      </c>
      <c r="B51" s="2"/>
    </row>
    <row r="52" spans="1:2" x14ac:dyDescent="0.25">
      <c r="A52" s="2" t="s">
        <v>113</v>
      </c>
      <c r="B52" s="2"/>
    </row>
    <row r="53" spans="1:2" x14ac:dyDescent="0.25">
      <c r="A53" s="2" t="s">
        <v>113</v>
      </c>
      <c r="B53" s="2"/>
    </row>
    <row r="54" spans="1:2" x14ac:dyDescent="0.25">
      <c r="A54" s="2" t="s">
        <v>113</v>
      </c>
      <c r="B54" s="2"/>
    </row>
    <row r="55" spans="1:2" x14ac:dyDescent="0.25">
      <c r="A55" s="2" t="s">
        <v>113</v>
      </c>
      <c r="B55" s="2"/>
    </row>
    <row r="56" spans="1:2" x14ac:dyDescent="0.25">
      <c r="A56" s="2" t="s">
        <v>113</v>
      </c>
      <c r="B56" s="2"/>
    </row>
    <row r="57" spans="1:2" x14ac:dyDescent="0.25">
      <c r="A57" s="2" t="s">
        <v>113</v>
      </c>
      <c r="B57" s="2"/>
    </row>
    <row r="58" spans="1:2" x14ac:dyDescent="0.25">
      <c r="A58" s="2" t="s">
        <v>113</v>
      </c>
      <c r="B58" s="2"/>
    </row>
    <row r="59" spans="1:2" x14ac:dyDescent="0.25">
      <c r="A59" s="2" t="s">
        <v>113</v>
      </c>
      <c r="B59" s="2"/>
    </row>
    <row r="60" spans="1:2" x14ac:dyDescent="0.25">
      <c r="A60" s="2" t="s">
        <v>113</v>
      </c>
      <c r="B60" s="2"/>
    </row>
    <row r="61" spans="1:2" x14ac:dyDescent="0.25">
      <c r="A61" s="2" t="s">
        <v>113</v>
      </c>
      <c r="B61" s="2"/>
    </row>
    <row r="62" spans="1:2" x14ac:dyDescent="0.25">
      <c r="A62" s="2" t="s">
        <v>114</v>
      </c>
      <c r="B62" s="2"/>
    </row>
    <row r="63" spans="1:2" x14ac:dyDescent="0.25">
      <c r="A63" s="2" t="s">
        <v>114</v>
      </c>
      <c r="B63" s="2"/>
    </row>
    <row r="64" spans="1:2" x14ac:dyDescent="0.25">
      <c r="A64" s="2" t="s">
        <v>114</v>
      </c>
      <c r="B64" s="2"/>
    </row>
    <row r="65" spans="1:2" x14ac:dyDescent="0.25">
      <c r="A65" s="2" t="s">
        <v>114</v>
      </c>
      <c r="B65" s="2"/>
    </row>
    <row r="66" spans="1:2" x14ac:dyDescent="0.25">
      <c r="A66" s="2" t="s">
        <v>114</v>
      </c>
      <c r="B66" s="2"/>
    </row>
    <row r="67" spans="1:2" x14ac:dyDescent="0.25">
      <c r="A67" s="2" t="s">
        <v>114</v>
      </c>
      <c r="B67" s="2"/>
    </row>
    <row r="68" spans="1:2" x14ac:dyDescent="0.25">
      <c r="A68" s="2" t="s">
        <v>114</v>
      </c>
      <c r="B68" s="2"/>
    </row>
    <row r="69" spans="1:2" x14ac:dyDescent="0.25">
      <c r="A69" s="2" t="s">
        <v>114</v>
      </c>
      <c r="B69" s="2"/>
    </row>
    <row r="70" spans="1:2" x14ac:dyDescent="0.25">
      <c r="A70" s="2" t="s">
        <v>114</v>
      </c>
      <c r="B70" s="2"/>
    </row>
    <row r="71" spans="1:2" x14ac:dyDescent="0.25">
      <c r="A71" s="2" t="s">
        <v>114</v>
      </c>
      <c r="B71" s="2"/>
    </row>
    <row r="72" spans="1:2" x14ac:dyDescent="0.25">
      <c r="A72" s="2" t="s">
        <v>114</v>
      </c>
      <c r="B72" s="2"/>
    </row>
    <row r="73" spans="1:2" x14ac:dyDescent="0.25">
      <c r="A73" s="2" t="s">
        <v>114</v>
      </c>
      <c r="B73" s="2"/>
    </row>
    <row r="74" spans="1:2" x14ac:dyDescent="0.25">
      <c r="A74" s="2" t="s">
        <v>114</v>
      </c>
      <c r="B74" s="2"/>
    </row>
    <row r="75" spans="1:2" x14ac:dyDescent="0.25">
      <c r="A75" s="2" t="s">
        <v>114</v>
      </c>
      <c r="B75" s="2"/>
    </row>
    <row r="76" spans="1:2" x14ac:dyDescent="0.25">
      <c r="A76" s="2" t="s">
        <v>114</v>
      </c>
      <c r="B76" s="2"/>
    </row>
    <row r="77" spans="1:2" x14ac:dyDescent="0.25">
      <c r="A77" s="2" t="s">
        <v>114</v>
      </c>
      <c r="B77" s="2"/>
    </row>
    <row r="78" spans="1:2" x14ac:dyDescent="0.25">
      <c r="A78" s="2" t="s">
        <v>114</v>
      </c>
      <c r="B78" s="2"/>
    </row>
    <row r="79" spans="1:2" x14ac:dyDescent="0.25">
      <c r="A79" s="2" t="s">
        <v>114</v>
      </c>
      <c r="B79" s="2"/>
    </row>
    <row r="80" spans="1:2" x14ac:dyDescent="0.25">
      <c r="A80" s="2" t="s">
        <v>114</v>
      </c>
      <c r="B80" s="2"/>
    </row>
    <row r="81" spans="1:2" x14ac:dyDescent="0.25">
      <c r="A81" s="2" t="s">
        <v>114</v>
      </c>
      <c r="B81" s="2"/>
    </row>
    <row r="82" spans="1:2" x14ac:dyDescent="0.25">
      <c r="A82" s="2" t="s">
        <v>114</v>
      </c>
      <c r="B82" s="2"/>
    </row>
    <row r="83" spans="1:2" x14ac:dyDescent="0.25">
      <c r="A83" s="2" t="s">
        <v>114</v>
      </c>
      <c r="B83" s="2"/>
    </row>
    <row r="84" spans="1:2" x14ac:dyDescent="0.25">
      <c r="A84" s="2" t="s">
        <v>114</v>
      </c>
      <c r="B84" s="2"/>
    </row>
    <row r="85" spans="1:2" x14ac:dyDescent="0.25">
      <c r="A85" s="2" t="s">
        <v>114</v>
      </c>
      <c r="B85" s="2"/>
    </row>
    <row r="86" spans="1:2" x14ac:dyDescent="0.25">
      <c r="A86" s="2" t="s">
        <v>114</v>
      </c>
      <c r="B86" s="2"/>
    </row>
    <row r="87" spans="1:2" x14ac:dyDescent="0.25">
      <c r="A87" s="2" t="s">
        <v>115</v>
      </c>
      <c r="B87" s="2"/>
    </row>
    <row r="88" spans="1:2" x14ac:dyDescent="0.25">
      <c r="A88" s="2" t="s">
        <v>115</v>
      </c>
      <c r="B88" s="2"/>
    </row>
    <row r="89" spans="1:2" x14ac:dyDescent="0.25">
      <c r="A89" s="2" t="s">
        <v>115</v>
      </c>
      <c r="B89" s="2"/>
    </row>
    <row r="90" spans="1:2" x14ac:dyDescent="0.25">
      <c r="A90" s="2" t="s">
        <v>115</v>
      </c>
      <c r="B90" s="2"/>
    </row>
    <row r="91" spans="1:2" x14ac:dyDescent="0.25">
      <c r="A91" s="2" t="s">
        <v>115</v>
      </c>
      <c r="B91" s="2"/>
    </row>
    <row r="92" spans="1:2" x14ac:dyDescent="0.25">
      <c r="A92" s="2" t="s">
        <v>115</v>
      </c>
      <c r="B92" s="2"/>
    </row>
    <row r="93" spans="1:2" x14ac:dyDescent="0.25">
      <c r="A93" s="2" t="s">
        <v>115</v>
      </c>
      <c r="B93" s="2"/>
    </row>
    <row r="94" spans="1:2" x14ac:dyDescent="0.25">
      <c r="A94" s="2" t="s">
        <v>115</v>
      </c>
      <c r="B94" s="2"/>
    </row>
    <row r="95" spans="1:2" x14ac:dyDescent="0.25">
      <c r="A95" s="2" t="s">
        <v>115</v>
      </c>
      <c r="B95" s="2"/>
    </row>
    <row r="96" spans="1:2" x14ac:dyDescent="0.25">
      <c r="A96" s="2" t="s">
        <v>115</v>
      </c>
      <c r="B96" s="2"/>
    </row>
    <row r="97" spans="1:2" x14ac:dyDescent="0.25">
      <c r="A97" s="2" t="s">
        <v>115</v>
      </c>
      <c r="B97" s="2"/>
    </row>
    <row r="98" spans="1:2" x14ac:dyDescent="0.25">
      <c r="A98" s="2" t="s">
        <v>115</v>
      </c>
      <c r="B98" s="2"/>
    </row>
    <row r="99" spans="1:2" x14ac:dyDescent="0.25">
      <c r="A99" s="2" t="s">
        <v>115</v>
      </c>
      <c r="B99" s="2"/>
    </row>
    <row r="100" spans="1:2" x14ac:dyDescent="0.25">
      <c r="A100" s="2" t="s">
        <v>115</v>
      </c>
      <c r="B100" s="2"/>
    </row>
    <row r="101" spans="1:2" x14ac:dyDescent="0.25">
      <c r="A101" s="2" t="s">
        <v>115</v>
      </c>
      <c r="B101" s="2"/>
    </row>
    <row r="102" spans="1:2" x14ac:dyDescent="0.25">
      <c r="A102" s="2" t="s">
        <v>115</v>
      </c>
      <c r="B102" s="2"/>
    </row>
    <row r="103" spans="1:2" x14ac:dyDescent="0.25">
      <c r="A103" s="2" t="s">
        <v>115</v>
      </c>
      <c r="B103" s="2"/>
    </row>
    <row r="104" spans="1:2" x14ac:dyDescent="0.25">
      <c r="A104" s="2" t="s">
        <v>115</v>
      </c>
      <c r="B104" s="2"/>
    </row>
    <row r="105" spans="1:2" x14ac:dyDescent="0.25">
      <c r="A105" s="2" t="s">
        <v>115</v>
      </c>
      <c r="B105" s="2"/>
    </row>
    <row r="106" spans="1:2" x14ac:dyDescent="0.25">
      <c r="A106" s="2" t="s">
        <v>115</v>
      </c>
      <c r="B106" s="2"/>
    </row>
    <row r="107" spans="1:2" x14ac:dyDescent="0.25">
      <c r="A107" s="2" t="s">
        <v>115</v>
      </c>
      <c r="B107" s="2"/>
    </row>
    <row r="108" spans="1:2" x14ac:dyDescent="0.25">
      <c r="A108" s="2" t="s">
        <v>115</v>
      </c>
      <c r="B108" s="2"/>
    </row>
    <row r="109" spans="1:2" x14ac:dyDescent="0.25">
      <c r="A109" s="2" t="s">
        <v>115</v>
      </c>
      <c r="B109" s="2"/>
    </row>
    <row r="110" spans="1:2" x14ac:dyDescent="0.25">
      <c r="A110" s="2" t="s">
        <v>115</v>
      </c>
      <c r="B110" s="2"/>
    </row>
    <row r="111" spans="1:2" x14ac:dyDescent="0.25">
      <c r="A111" s="2" t="s">
        <v>115</v>
      </c>
      <c r="B111" s="2"/>
    </row>
  </sheetData>
  <mergeCells count="2">
    <mergeCell ref="A1:B1"/>
    <mergeCell ref="B6:E6"/>
  </mergeCells>
  <phoneticPr fontId="8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28D8-1D65-49AB-AEE1-AC30B39E81F8}">
  <dimension ref="A1:AM47"/>
  <sheetViews>
    <sheetView workbookViewId="0">
      <selection activeCell="L31" sqref="L31"/>
    </sheetView>
  </sheetViews>
  <sheetFormatPr defaultRowHeight="15" x14ac:dyDescent="0.25"/>
  <cols>
    <col min="1" max="1" width="25.140625" bestFit="1" customWidth="1"/>
    <col min="2" max="5" width="10.7109375" customWidth="1"/>
    <col min="6" max="6" width="5.7109375" customWidth="1"/>
    <col min="7" max="7" width="25.140625" bestFit="1" customWidth="1"/>
    <col min="8" max="11" width="10.7109375" customWidth="1"/>
    <col min="12" max="12" width="18" bestFit="1" customWidth="1"/>
    <col min="13" max="13" width="5.7109375" customWidth="1"/>
    <col min="14" max="14" width="25.140625" bestFit="1" customWidth="1"/>
    <col min="15" max="18" width="10.7109375" customWidth="1"/>
    <col min="19" max="19" width="18" bestFit="1" customWidth="1"/>
    <col min="20" max="20" width="5.7109375" customWidth="1"/>
    <col min="21" max="21" width="25.140625" bestFit="1" customWidth="1"/>
    <col min="22" max="25" width="10.7109375" customWidth="1"/>
    <col min="26" max="26" width="18" bestFit="1" customWidth="1"/>
    <col min="27" max="27" width="5.7109375" customWidth="1"/>
    <col min="28" max="28" width="25.140625" bestFit="1" customWidth="1"/>
    <col min="29" max="29" width="29.28515625" bestFit="1" customWidth="1"/>
    <col min="30" max="30" width="16" bestFit="1" customWidth="1"/>
    <col min="31" max="31" width="29" bestFit="1" customWidth="1"/>
    <col min="32" max="32" width="30" bestFit="1" customWidth="1"/>
    <col min="33" max="33" width="5.7109375" customWidth="1"/>
    <col min="34" max="34" width="25.140625" bestFit="1" customWidth="1"/>
    <col min="35" max="37" width="10.7109375" customWidth="1"/>
    <col min="38" max="38" width="11.7109375" bestFit="1" customWidth="1"/>
    <col min="39" max="39" width="11.28515625" bestFit="1" customWidth="1"/>
  </cols>
  <sheetData>
    <row r="1" spans="1:39" x14ac:dyDescent="0.25">
      <c r="A1" s="5" t="s">
        <v>10</v>
      </c>
      <c r="B1" s="5" t="s">
        <v>4</v>
      </c>
    </row>
    <row r="2" spans="1:39" x14ac:dyDescent="0.25">
      <c r="A2" s="2" t="s">
        <v>134</v>
      </c>
      <c r="B2" s="2"/>
    </row>
    <row r="3" spans="1:39" x14ac:dyDescent="0.25">
      <c r="A3" s="32"/>
      <c r="B3" s="32"/>
    </row>
    <row r="5" spans="1:39" x14ac:dyDescent="0.25">
      <c r="A5" s="62" t="s">
        <v>148</v>
      </c>
      <c r="B5" s="62"/>
      <c r="C5" s="62"/>
      <c r="D5" s="62"/>
      <c r="E5" s="62"/>
      <c r="G5" s="62" t="s">
        <v>150</v>
      </c>
      <c r="H5" s="62"/>
      <c r="I5" s="62"/>
      <c r="J5" s="62"/>
      <c r="K5" s="62"/>
      <c r="L5" s="62"/>
      <c r="N5" s="63" t="s">
        <v>141</v>
      </c>
      <c r="O5" s="63"/>
      <c r="P5" s="63"/>
      <c r="Q5" s="63"/>
      <c r="R5" s="63"/>
      <c r="S5" s="63"/>
      <c r="U5" s="62" t="s">
        <v>143</v>
      </c>
      <c r="V5" s="62"/>
      <c r="W5" s="62"/>
      <c r="X5" s="62"/>
      <c r="Y5" s="62"/>
      <c r="Z5" s="62"/>
      <c r="AB5" s="62" t="s">
        <v>144</v>
      </c>
      <c r="AC5" s="62"/>
      <c r="AD5" s="62"/>
      <c r="AE5" s="62"/>
      <c r="AF5" s="62"/>
      <c r="AG5" s="63"/>
      <c r="AH5" s="62" t="s">
        <v>151</v>
      </c>
      <c r="AI5" s="62"/>
      <c r="AJ5" s="62"/>
      <c r="AK5" s="62"/>
      <c r="AL5" s="62"/>
    </row>
    <row r="6" spans="1:39" x14ac:dyDescent="0.25">
      <c r="A6" s="30" t="s">
        <v>135</v>
      </c>
      <c r="B6" s="30" t="s">
        <v>136</v>
      </c>
      <c r="C6" s="30" t="s">
        <v>24</v>
      </c>
      <c r="D6" s="30" t="s">
        <v>25</v>
      </c>
      <c r="E6" s="30" t="s">
        <v>97</v>
      </c>
      <c r="G6" s="30" t="s">
        <v>140</v>
      </c>
      <c r="H6" s="30" t="s">
        <v>137</v>
      </c>
      <c r="I6" s="30" t="s">
        <v>138</v>
      </c>
      <c r="J6" s="30" t="s">
        <v>139</v>
      </c>
      <c r="K6" s="30" t="s">
        <v>97</v>
      </c>
      <c r="L6" s="30" t="s">
        <v>58</v>
      </c>
      <c r="N6" s="30" t="s">
        <v>140</v>
      </c>
      <c r="O6" s="30" t="s">
        <v>137</v>
      </c>
      <c r="P6" s="30" t="s">
        <v>138</v>
      </c>
      <c r="Q6" s="30" t="s">
        <v>139</v>
      </c>
      <c r="R6" s="30" t="s">
        <v>97</v>
      </c>
      <c r="S6" s="30" t="s">
        <v>58</v>
      </c>
      <c r="U6" s="30" t="s">
        <v>135</v>
      </c>
      <c r="V6" s="30" t="s">
        <v>136</v>
      </c>
      <c r="W6" s="30" t="s">
        <v>24</v>
      </c>
      <c r="X6" s="30" t="s">
        <v>25</v>
      </c>
      <c r="Y6" s="30" t="s">
        <v>97</v>
      </c>
      <c r="Z6" s="30" t="s">
        <v>58</v>
      </c>
      <c r="AB6" s="30"/>
      <c r="AC6" s="34" t="s">
        <v>145</v>
      </c>
      <c r="AD6" s="34" t="s">
        <v>94</v>
      </c>
      <c r="AE6" s="34" t="s">
        <v>146</v>
      </c>
      <c r="AF6" s="34" t="s">
        <v>91</v>
      </c>
      <c r="AG6" s="33"/>
      <c r="AH6" s="31"/>
      <c r="AI6" s="37" t="s">
        <v>101</v>
      </c>
      <c r="AJ6" s="38" t="s">
        <v>102</v>
      </c>
      <c r="AK6" s="38" t="s">
        <v>103</v>
      </c>
      <c r="AL6" s="38" t="s">
        <v>104</v>
      </c>
      <c r="AM6" s="35" t="s">
        <v>105</v>
      </c>
    </row>
    <row r="7" spans="1:39" x14ac:dyDescent="0.25">
      <c r="A7" s="2">
        <f>sys_name_</f>
        <v>0</v>
      </c>
      <c r="B7" s="50" t="e">
        <f>'BC SNR'!B5</f>
        <v>#DIV/0!</v>
      </c>
      <c r="C7" s="50" t="e">
        <f>'BC SNR'!C5</f>
        <v>#DIV/0!</v>
      </c>
      <c r="D7" s="50" t="e">
        <f>'BC SNR'!D5</f>
        <v>#DIV/0!</v>
      </c>
      <c r="E7" s="50" t="e">
        <f>'BC SNR'!E5</f>
        <v>#DIV/0!</v>
      </c>
      <c r="G7" s="2">
        <f>sys_name_</f>
        <v>0</v>
      </c>
      <c r="H7" s="3">
        <f>'BC Uniformity'!A4</f>
        <v>0</v>
      </c>
      <c r="I7" s="3">
        <f>'BC Uniformity'!B4</f>
        <v>0</v>
      </c>
      <c r="J7" s="3">
        <f>'BC Uniformity'!C4</f>
        <v>0</v>
      </c>
      <c r="K7" s="3">
        <f>'BC Uniformity'!D4</f>
        <v>0</v>
      </c>
      <c r="L7" s="3">
        <f>'BC Uniformity'!E4</f>
        <v>0</v>
      </c>
      <c r="N7" s="2">
        <f>sys_name_</f>
        <v>0</v>
      </c>
      <c r="O7" s="3" t="e">
        <f>Geometric!B10</f>
        <v>#DIV/0!</v>
      </c>
      <c r="P7" s="3" t="e">
        <f>Geometric!C10</f>
        <v>#DIV/0!</v>
      </c>
      <c r="Q7" s="3" t="e">
        <f>Geometric!D10</f>
        <v>#DIV/0!</v>
      </c>
      <c r="R7" s="3" t="e">
        <f>Geometric!E10</f>
        <v>#DIV/0!</v>
      </c>
      <c r="S7" s="3" t="e">
        <f>Geometric!F10</f>
        <v>#DIV/0!</v>
      </c>
      <c r="U7" s="2">
        <f>sys_name_</f>
        <v>0</v>
      </c>
      <c r="V7" s="3">
        <f>'Slice Width'!B5</f>
        <v>0</v>
      </c>
      <c r="W7" s="3">
        <f>'Slice Width'!C5</f>
        <v>0</v>
      </c>
      <c r="X7" s="3">
        <f>'Slice Width'!D5</f>
        <v>0</v>
      </c>
      <c r="Y7" s="3">
        <f>'Slice Width'!E5</f>
        <v>0</v>
      </c>
      <c r="Z7" s="3">
        <f>'Slice Width'!F5</f>
        <v>0</v>
      </c>
      <c r="AB7" s="2">
        <f>sys_name_</f>
        <v>0</v>
      </c>
      <c r="AC7" s="25" t="e">
        <f>'Slice Position'!A4</f>
        <v>#DIV/0!</v>
      </c>
      <c r="AD7" s="25" t="e">
        <f>'Slice Position'!B4</f>
        <v>#DIV/0!</v>
      </c>
      <c r="AE7" s="25" t="e">
        <f>'Slice Position'!C4</f>
        <v>#DIV/0!</v>
      </c>
      <c r="AF7" s="25">
        <f>'Slice Position'!D4</f>
        <v>0</v>
      </c>
      <c r="AG7" s="33"/>
      <c r="AH7" s="36">
        <f>sys_name_</f>
        <v>0</v>
      </c>
      <c r="AI7" s="40">
        <f>'EPI Stability'!A4</f>
        <v>0</v>
      </c>
      <c r="AJ7" s="40">
        <f>'EPI Stability'!B4</f>
        <v>0</v>
      </c>
      <c r="AK7" s="40">
        <f>'EPI Stability'!C4</f>
        <v>0</v>
      </c>
      <c r="AL7" s="40" t="e">
        <f>'EPI Stability'!D4</f>
        <v>#DIV/0!</v>
      </c>
      <c r="AM7" s="45" t="e">
        <f>'EPI Stability'!E4</f>
        <v>#DIV/0!</v>
      </c>
    </row>
    <row r="9" spans="1:39" x14ac:dyDescent="0.25">
      <c r="A9" s="62" t="s">
        <v>149</v>
      </c>
      <c r="B9" s="62"/>
      <c r="C9" s="62"/>
      <c r="D9" s="62"/>
      <c r="E9" s="62"/>
      <c r="G9" s="62" t="s">
        <v>147</v>
      </c>
      <c r="H9" s="62"/>
      <c r="I9" s="62"/>
      <c r="J9" s="62"/>
      <c r="K9" s="62"/>
      <c r="L9" s="62"/>
      <c r="N9" s="62" t="s">
        <v>142</v>
      </c>
      <c r="O9" s="62"/>
      <c r="P9" s="62"/>
      <c r="Q9" s="62"/>
      <c r="R9" s="62"/>
      <c r="S9" s="63"/>
    </row>
    <row r="10" spans="1:39" x14ac:dyDescent="0.25">
      <c r="A10" s="30" t="s">
        <v>135</v>
      </c>
      <c r="B10" s="30" t="s">
        <v>136</v>
      </c>
      <c r="C10" s="30" t="s">
        <v>24</v>
      </c>
      <c r="D10" s="30" t="s">
        <v>25</v>
      </c>
      <c r="E10" s="30" t="s">
        <v>97</v>
      </c>
      <c r="G10" s="30" t="s">
        <v>140</v>
      </c>
      <c r="H10" s="30" t="s">
        <v>137</v>
      </c>
      <c r="I10" s="30" t="s">
        <v>138</v>
      </c>
      <c r="J10" s="30" t="s">
        <v>139</v>
      </c>
      <c r="K10" s="30" t="s">
        <v>97</v>
      </c>
      <c r="L10" s="30" t="s">
        <v>58</v>
      </c>
      <c r="N10" s="30" t="s">
        <v>140</v>
      </c>
      <c r="O10" s="30" t="s">
        <v>137</v>
      </c>
      <c r="P10" s="30" t="s">
        <v>138</v>
      </c>
      <c r="Q10" s="30" t="s">
        <v>139</v>
      </c>
      <c r="R10" s="30" t="s">
        <v>97</v>
      </c>
      <c r="S10" s="33"/>
    </row>
    <row r="11" spans="1:39" x14ac:dyDescent="0.25">
      <c r="A11" s="2">
        <f>sys_name_</f>
        <v>0</v>
      </c>
      <c r="B11" s="50" t="e">
        <f>'HC SNR'!B5</f>
        <v>#DIV/0!</v>
      </c>
      <c r="C11" s="50" t="e">
        <f>'HC SNR'!C5</f>
        <v>#DIV/0!</v>
      </c>
      <c r="D11" s="50" t="e">
        <f>'HC SNR'!D5</f>
        <v>#DIV/0!</v>
      </c>
      <c r="E11" s="50" t="e">
        <f>'HC SNR'!E5</f>
        <v>#DIV/0!</v>
      </c>
      <c r="G11" s="2">
        <f>sys_name_</f>
        <v>0</v>
      </c>
      <c r="H11" s="3">
        <f>'HC Uniformity'!A4</f>
        <v>0</v>
      </c>
      <c r="I11" s="3">
        <f>'HC Uniformity'!B4</f>
        <v>0</v>
      </c>
      <c r="J11" s="3">
        <f>'HC Uniformity'!C4</f>
        <v>0</v>
      </c>
      <c r="K11" s="3">
        <f>'HC Uniformity'!D4</f>
        <v>0</v>
      </c>
      <c r="L11" s="3">
        <f>'HC Uniformity'!E4</f>
        <v>0</v>
      </c>
      <c r="N11" s="2">
        <f>sys_name_</f>
        <v>0</v>
      </c>
      <c r="O11" s="3" t="e">
        <f>Geometric!B11</f>
        <v>#DIV/0!</v>
      </c>
      <c r="P11" s="3" t="e">
        <f>Geometric!C11</f>
        <v>#DIV/0!</v>
      </c>
      <c r="Q11" s="3" t="e">
        <f>Geometric!D11</f>
        <v>#DIV/0!</v>
      </c>
      <c r="R11" s="3" t="e">
        <f>Geometric!E11</f>
        <v>#DIV/0!</v>
      </c>
      <c r="S11" s="32"/>
    </row>
    <row r="12" spans="1:39" x14ac:dyDescent="0.25">
      <c r="A12" s="32"/>
      <c r="B12" s="32"/>
      <c r="C12" s="32"/>
      <c r="D12" s="32"/>
      <c r="E12" s="32"/>
      <c r="F12" s="32"/>
    </row>
    <row r="20" spans="1:6" x14ac:dyDescent="0.25">
      <c r="A20" s="32"/>
      <c r="B20" s="32"/>
      <c r="C20" s="32"/>
      <c r="D20" s="32"/>
      <c r="E20" s="32"/>
      <c r="F20" s="32"/>
    </row>
    <row r="46" spans="6:6" x14ac:dyDescent="0.25">
      <c r="F46" s="38" t="s">
        <v>105</v>
      </c>
    </row>
    <row r="47" spans="6:6" x14ac:dyDescent="0.25">
      <c r="F47" s="36"/>
    </row>
  </sheetData>
  <mergeCells count="9">
    <mergeCell ref="AB5:AG5"/>
    <mergeCell ref="A9:E9"/>
    <mergeCell ref="AH5:AL5"/>
    <mergeCell ref="G5:L5"/>
    <mergeCell ref="G9:L9"/>
    <mergeCell ref="A5:E5"/>
    <mergeCell ref="N5:S5"/>
    <mergeCell ref="N9:S9"/>
    <mergeCell ref="U5:Z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7CB2-16CB-49AA-9DF3-14A634208480}">
  <dimension ref="A1:B32"/>
  <sheetViews>
    <sheetView tabSelected="1" workbookViewId="0">
      <selection activeCell="B32" sqref="B32"/>
    </sheetView>
  </sheetViews>
  <sheetFormatPr defaultRowHeight="15" x14ac:dyDescent="0.25"/>
  <cols>
    <col min="1" max="1" width="25.140625" bestFit="1" customWidth="1"/>
    <col min="2" max="2" width="35.140625" bestFit="1" customWidth="1"/>
  </cols>
  <sheetData>
    <row r="1" spans="1:2" x14ac:dyDescent="0.25">
      <c r="A1" s="5" t="s">
        <v>10</v>
      </c>
      <c r="B1" s="5" t="s">
        <v>4</v>
      </c>
    </row>
    <row r="2" spans="1:2" x14ac:dyDescent="0.25">
      <c r="A2" s="2" t="s">
        <v>175</v>
      </c>
      <c r="B2" s="2"/>
    </row>
    <row r="6" spans="1:2" x14ac:dyDescent="0.25">
      <c r="B6" s="49" t="s">
        <v>174</v>
      </c>
    </row>
    <row r="7" spans="1:2" x14ac:dyDescent="0.25">
      <c r="A7" s="2">
        <f>'Tables for Report'!sys_name_</f>
        <v>0</v>
      </c>
      <c r="B7" s="50" t="e">
        <f>'Tables for Report'!E7</f>
        <v>#DIV/0!</v>
      </c>
    </row>
    <row r="8" spans="1:2" x14ac:dyDescent="0.25">
      <c r="A8" s="2">
        <f>sys_name_comp_</f>
        <v>0</v>
      </c>
      <c r="B8" s="2"/>
    </row>
    <row r="10" spans="1:2" x14ac:dyDescent="0.25">
      <c r="B10" s="49" t="s">
        <v>176</v>
      </c>
    </row>
    <row r="11" spans="1:2" x14ac:dyDescent="0.25">
      <c r="A11" s="2">
        <f>'Tables for Report'!sys_name_</f>
        <v>0</v>
      </c>
      <c r="B11" s="50" t="e">
        <f>'Tables for Report'!E11</f>
        <v>#DIV/0!</v>
      </c>
    </row>
    <row r="12" spans="1:2" x14ac:dyDescent="0.25">
      <c r="A12" s="2">
        <f>sys_name_comp_</f>
        <v>0</v>
      </c>
      <c r="B12" s="2"/>
    </row>
    <row r="14" spans="1:2" x14ac:dyDescent="0.25">
      <c r="B14" s="49" t="s">
        <v>177</v>
      </c>
    </row>
    <row r="15" spans="1:2" x14ac:dyDescent="0.25">
      <c r="A15" s="2">
        <f>'Tables for Report'!sys_name_</f>
        <v>0</v>
      </c>
      <c r="B15" s="3">
        <f>'Tables for Report'!K7</f>
        <v>0</v>
      </c>
    </row>
    <row r="16" spans="1:2" x14ac:dyDescent="0.25">
      <c r="A16" s="2">
        <f>sys_name_comp_</f>
        <v>0</v>
      </c>
      <c r="B16" s="2"/>
    </row>
    <row r="18" spans="1:2" x14ac:dyDescent="0.25">
      <c r="B18" s="49" t="s">
        <v>178</v>
      </c>
    </row>
    <row r="19" spans="1:2" x14ac:dyDescent="0.25">
      <c r="A19" s="2">
        <f>'Tables for Report'!sys_name_</f>
        <v>0</v>
      </c>
      <c r="B19" s="3">
        <f>'Tables for Report'!K11</f>
        <v>0</v>
      </c>
    </row>
    <row r="20" spans="1:2" x14ac:dyDescent="0.25">
      <c r="A20" s="2">
        <f>sys_name_comp_</f>
        <v>0</v>
      </c>
      <c r="B20" s="2"/>
    </row>
    <row r="22" spans="1:2" x14ac:dyDescent="0.25">
      <c r="B22" s="49" t="s">
        <v>179</v>
      </c>
    </row>
    <row r="23" spans="1:2" x14ac:dyDescent="0.25">
      <c r="A23" s="2">
        <f>'Tables for Report'!sys_name_</f>
        <v>0</v>
      </c>
      <c r="B23" s="3" t="e">
        <f>'Tables for Report'!R7-120</f>
        <v>#DIV/0!</v>
      </c>
    </row>
    <row r="24" spans="1:2" x14ac:dyDescent="0.25">
      <c r="A24" s="2">
        <f>sys_name_comp_</f>
        <v>0</v>
      </c>
      <c r="B24" s="2"/>
    </row>
    <row r="26" spans="1:2" x14ac:dyDescent="0.25">
      <c r="B26" s="49" t="s">
        <v>180</v>
      </c>
    </row>
    <row r="27" spans="1:2" x14ac:dyDescent="0.25">
      <c r="A27" s="2">
        <f>'Tables for Report'!sys_name_</f>
        <v>0</v>
      </c>
      <c r="B27" s="3" t="e">
        <f>'Tables for Report'!R11</f>
        <v>#DIV/0!</v>
      </c>
    </row>
    <row r="28" spans="1:2" x14ac:dyDescent="0.25">
      <c r="A28" s="2">
        <f>sys_name_comp_</f>
        <v>0</v>
      </c>
      <c r="B28" s="2"/>
    </row>
    <row r="30" spans="1:2" x14ac:dyDescent="0.25">
      <c r="B30" s="49" t="s">
        <v>181</v>
      </c>
    </row>
    <row r="31" spans="1:2" x14ac:dyDescent="0.25">
      <c r="A31" s="2">
        <f>'Tables for Report'!sys_name_</f>
        <v>0</v>
      </c>
      <c r="B31" s="3">
        <f>'Tables for Report'!Y7-5</f>
        <v>-5</v>
      </c>
    </row>
    <row r="32" spans="1:2" x14ac:dyDescent="0.25">
      <c r="A32" s="2">
        <f>sys_name_comp_</f>
        <v>0</v>
      </c>
      <c r="B3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83</vt:i4>
      </vt:variant>
    </vt:vector>
  </HeadingPairs>
  <TitlesOfParts>
    <vt:vector size="102" baseType="lpstr">
      <vt:lpstr>BC SNR</vt:lpstr>
      <vt:lpstr>HC SNR</vt:lpstr>
      <vt:lpstr>BC Uniformity</vt:lpstr>
      <vt:lpstr>BC Tra Uniformity</vt:lpstr>
      <vt:lpstr>BC Sag Uniformity</vt:lpstr>
      <vt:lpstr>BC Cor Uniformity</vt:lpstr>
      <vt:lpstr>HC Uniformity</vt:lpstr>
      <vt:lpstr>HC Tra Uniformity</vt:lpstr>
      <vt:lpstr>HC Sag Uniformity</vt:lpstr>
      <vt:lpstr>HC Cor Uniformity</vt:lpstr>
      <vt:lpstr>Geometric</vt:lpstr>
      <vt:lpstr>Slice Width</vt:lpstr>
      <vt:lpstr>Tra Slice Width</vt:lpstr>
      <vt:lpstr>Sag Slice Width</vt:lpstr>
      <vt:lpstr>Cor Slice Width</vt:lpstr>
      <vt:lpstr>Slice Position</vt:lpstr>
      <vt:lpstr>EPI Stability</vt:lpstr>
      <vt:lpstr>Tables for Report</vt:lpstr>
      <vt:lpstr>Comparison Charts for Report</vt:lpstr>
      <vt:lpstr>'Slice Position'!angled_rod_sep_</vt:lpstr>
      <vt:lpstr>'BC SNR'!B0_</vt:lpstr>
      <vt:lpstr>'HC SNR'!B0_</vt:lpstr>
      <vt:lpstr>'BC SNR'!BW_</vt:lpstr>
      <vt:lpstr>'HC SNR'!BW_</vt:lpstr>
      <vt:lpstr>'BC SNR'!BW_nominal_</vt:lpstr>
      <vt:lpstr>'HC SNR'!BW_nominal_</vt:lpstr>
      <vt:lpstr>'BC SNR'!BW_norm_</vt:lpstr>
      <vt:lpstr>'HC SNR'!BW_norm_</vt:lpstr>
      <vt:lpstr>'BC SNR'!BW_scanner_</vt:lpstr>
      <vt:lpstr>'HC SNR'!BW_scanner_</vt:lpstr>
      <vt:lpstr>'BC SNR'!CL_norm_</vt:lpstr>
      <vt:lpstr>'HC SNR'!CL_norm_</vt:lpstr>
      <vt:lpstr>'BC SNR'!Dx_</vt:lpstr>
      <vt:lpstr>'HC SNR'!Dx_</vt:lpstr>
      <vt:lpstr>'Slice Width'!Dx_</vt:lpstr>
      <vt:lpstr>'BC SNR'!Dy_</vt:lpstr>
      <vt:lpstr>'HC SNR'!Dy_</vt:lpstr>
      <vt:lpstr>'BC SNR'!Dz_cor_</vt:lpstr>
      <vt:lpstr>'HC SNR'!Dz_cor_</vt:lpstr>
      <vt:lpstr>'BC SNR'!Dz_sag_</vt:lpstr>
      <vt:lpstr>'HC SNR'!Dz_sag_</vt:lpstr>
      <vt:lpstr>'BC SNR'!Dz_tra_</vt:lpstr>
      <vt:lpstr>'HC SNR'!Dz_tra_</vt:lpstr>
      <vt:lpstr>'BC SNR'!FOV_</vt:lpstr>
      <vt:lpstr>'HC SNR'!FOV_</vt:lpstr>
      <vt:lpstr>'Slice Width'!FOV_</vt:lpstr>
      <vt:lpstr>'Slice Width'!FWHM_cor_1_</vt:lpstr>
      <vt:lpstr>'Slice Width'!FWHM_cor_2_</vt:lpstr>
      <vt:lpstr>'Slice Width'!FWHM_sag_1_</vt:lpstr>
      <vt:lpstr>'Slice Width'!FWHM_sag_2_</vt:lpstr>
      <vt:lpstr>'Slice Width'!FWHM_tra_1_</vt:lpstr>
      <vt:lpstr>'Slice Width'!FWHM_tra_2_</vt:lpstr>
      <vt:lpstr>'BC SNR'!N_fe_</vt:lpstr>
      <vt:lpstr>'HC SNR'!N_fe_</vt:lpstr>
      <vt:lpstr>'Slice Width'!N_fe_</vt:lpstr>
      <vt:lpstr>'BC SNR'!N_pe_</vt:lpstr>
      <vt:lpstr>'HC SNR'!N_pe_</vt:lpstr>
      <vt:lpstr>'BC SNR'!NSA_</vt:lpstr>
      <vt:lpstr>'HC SNR'!NSA_</vt:lpstr>
      <vt:lpstr>'Cor Slice Width'!profile_1_baseline_offset_</vt:lpstr>
      <vt:lpstr>'Sag Slice Width'!profile_1_baseline_offset_</vt:lpstr>
      <vt:lpstr>'Tra Slice Width'!profile_1_baseline_offset_</vt:lpstr>
      <vt:lpstr>'Cor Slice Width'!profile_1_min_offset_</vt:lpstr>
      <vt:lpstr>'Sag Slice Width'!profile_1_min_offset_</vt:lpstr>
      <vt:lpstr>'Tra Slice Width'!profile_1_min_offset_</vt:lpstr>
      <vt:lpstr>'Cor Slice Width'!profile_2_baseline_offset_</vt:lpstr>
      <vt:lpstr>'Sag Slice Width'!profile_2_baseline_offset_</vt:lpstr>
      <vt:lpstr>'Tra Slice Width'!profile_2_baseline_offset_</vt:lpstr>
      <vt:lpstr>'Cor Slice Width'!profile_2_min_offset_</vt:lpstr>
      <vt:lpstr>'Sag Slice Width'!profile_2_min_offset_</vt:lpstr>
      <vt:lpstr>'Tra Slice Width'!profile_2_min_offset_</vt:lpstr>
      <vt:lpstr>'BC SNR'!Q_head_</vt:lpstr>
      <vt:lpstr>'HC SNR'!Q_head_</vt:lpstr>
      <vt:lpstr>'BC SNR'!Q_test_object_</vt:lpstr>
      <vt:lpstr>'HC SNR'!Q_test_object_</vt:lpstr>
      <vt:lpstr>'Slice Position'!rda_</vt:lpstr>
      <vt:lpstr>Geometric!rod_dist_</vt:lpstr>
      <vt:lpstr>'BC SNR'!Scanner_</vt:lpstr>
      <vt:lpstr>'HC SNR'!Scanner_</vt:lpstr>
      <vt:lpstr>'Slice Width'!SF_</vt:lpstr>
      <vt:lpstr>'Slice Position'!slice_gap_</vt:lpstr>
      <vt:lpstr>'Slice Position'!slice_offset_</vt:lpstr>
      <vt:lpstr>'Slice Position'!slice_thk_</vt:lpstr>
      <vt:lpstr>'BC SNR'!SNR_cor_</vt:lpstr>
      <vt:lpstr>'HC SNR'!SNR_cor_</vt:lpstr>
      <vt:lpstr>'BC SNR'!SNR_sag_</vt:lpstr>
      <vt:lpstr>'HC SNR'!SNR_sag_</vt:lpstr>
      <vt:lpstr>'BC SNR'!SNR_tra_</vt:lpstr>
      <vt:lpstr>'HC SNR'!SNR_tra_</vt:lpstr>
      <vt:lpstr>'BC SNR'!ST_corr_</vt:lpstr>
      <vt:lpstr>'HC SNR'!ST_corr_</vt:lpstr>
      <vt:lpstr>'Tables for Report'!sys_name_</vt:lpstr>
      <vt:lpstr>'Comparison Charts for Report'!sys_name_comp_</vt:lpstr>
      <vt:lpstr>'Slice Width'!theta_</vt:lpstr>
      <vt:lpstr>'BC SNR'!TR_</vt:lpstr>
      <vt:lpstr>'HC SNR'!TR_</vt:lpstr>
      <vt:lpstr>'BC SNR'!VS_corr_cor_</vt:lpstr>
      <vt:lpstr>'HC SNR'!VS_corr_cor_</vt:lpstr>
      <vt:lpstr>'BC SNR'!VS_corr_sag_</vt:lpstr>
      <vt:lpstr>'HC SNR'!VS_corr_sag_</vt:lpstr>
      <vt:lpstr>'BC SNR'!VS_corr_tra_</vt:lpstr>
      <vt:lpstr>'HC SNR'!VS_corr_tra_</vt:lpstr>
    </vt:vector>
  </TitlesOfParts>
  <Company>UCLH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WASTLING, Stephen (UNIVERSITY COLLEGE LONDON HOSPITALS NHS FOUNDATION TRUST)</dc:creator>
  <cp:lastModifiedBy>WASTLING, Stephen (UNIVERSITY COLLEGE LONDON HOSPITALS</cp:lastModifiedBy>
  <dcterms:created xsi:type="dcterms:W3CDTF">2025-09-26T16:00:41Z</dcterms:created>
  <dcterms:modified xsi:type="dcterms:W3CDTF">2025-11-27T14:41:00Z</dcterms:modified>
</cp:coreProperties>
</file>